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u\Downloads\"/>
    </mc:Choice>
  </mc:AlternateContent>
  <xr:revisionPtr revIDLastSave="0" documentId="8_{805D474F-87F8-4630-9692-19600909F93B}" xr6:coauthVersionLast="36" xr6:coauthVersionMax="36" xr10:uidLastSave="{00000000-0000-0000-0000-000000000000}"/>
  <bookViews>
    <workbookView xWindow="0" yWindow="0" windowWidth="28800" windowHeight="12105" xr2:uid="{D0F06308-3632-4928-A3AF-577755DBD7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453" i="1" l="1"/>
  <c r="AL453" i="1"/>
  <c r="AK453" i="1"/>
  <c r="AQ453" i="1" s="1"/>
  <c r="AS453" i="1" s="1"/>
  <c r="AJ453" i="1"/>
  <c r="AR453" i="1" s="1"/>
  <c r="AD453" i="1"/>
  <c r="X453" i="1"/>
  <c r="S453" i="1"/>
  <c r="P453" i="1"/>
  <c r="Q453" i="1" s="1"/>
  <c r="M453" i="1"/>
  <c r="T453" i="1" s="1"/>
  <c r="E453" i="1"/>
  <c r="AL452" i="1"/>
  <c r="AK452" i="1"/>
  <c r="AQ452" i="1" s="1"/>
  <c r="AS452" i="1" s="1"/>
  <c r="AJ452" i="1"/>
  <c r="AR452" i="1" s="1"/>
  <c r="X452" i="1"/>
  <c r="AD452" i="1" s="1"/>
  <c r="T452" i="1"/>
  <c r="Q452" i="1"/>
  <c r="P452" i="1"/>
  <c r="M452" i="1"/>
  <c r="E452" i="1"/>
  <c r="S452" i="1" s="1"/>
  <c r="AL451" i="1"/>
  <c r="AK451" i="1"/>
  <c r="AQ451" i="1" s="1"/>
  <c r="AJ451" i="1"/>
  <c r="AR451" i="1" s="1"/>
  <c r="AS451" i="1" s="1"/>
  <c r="X451" i="1"/>
  <c r="AD451" i="1" s="1"/>
  <c r="T451" i="1"/>
  <c r="S451" i="1"/>
  <c r="P451" i="1"/>
  <c r="Q451" i="1" s="1"/>
  <c r="M451" i="1"/>
  <c r="E451" i="1"/>
  <c r="AR450" i="1"/>
  <c r="AQ450" i="1"/>
  <c r="AS450" i="1" s="1"/>
  <c r="AL450" i="1"/>
  <c r="AK450" i="1"/>
  <c r="AJ450" i="1"/>
  <c r="X450" i="1"/>
  <c r="AD450" i="1" s="1"/>
  <c r="T450" i="1"/>
  <c r="S450" i="1"/>
  <c r="Q450" i="1"/>
  <c r="P450" i="1"/>
  <c r="M450" i="1"/>
  <c r="E450" i="1"/>
  <c r="AQ449" i="1"/>
  <c r="AL449" i="1"/>
  <c r="AK449" i="1"/>
  <c r="AJ449" i="1"/>
  <c r="AE449" i="1" s="1"/>
  <c r="X449" i="1"/>
  <c r="AD449" i="1" s="1"/>
  <c r="S449" i="1"/>
  <c r="Q449" i="1"/>
  <c r="P449" i="1"/>
  <c r="M449" i="1"/>
  <c r="E449" i="1"/>
  <c r="T449" i="1" s="1"/>
  <c r="AL448" i="1"/>
  <c r="AK448" i="1"/>
  <c r="AQ448" i="1" s="1"/>
  <c r="AJ448" i="1"/>
  <c r="AE448" i="1" s="1"/>
  <c r="X448" i="1"/>
  <c r="AD448" i="1" s="1"/>
  <c r="S448" i="1"/>
  <c r="P448" i="1"/>
  <c r="Q448" i="1" s="1"/>
  <c r="M448" i="1"/>
  <c r="T448" i="1" s="1"/>
  <c r="E448" i="1"/>
  <c r="AO447" i="1"/>
  <c r="AL447" i="1"/>
  <c r="AK447" i="1"/>
  <c r="AQ447" i="1" s="1"/>
  <c r="AJ447" i="1"/>
  <c r="AM447" i="1" s="1"/>
  <c r="AN447" i="1" s="1"/>
  <c r="AP447" i="1" s="1"/>
  <c r="AG447" i="1"/>
  <c r="AE447" i="1"/>
  <c r="X447" i="1"/>
  <c r="AD447" i="1" s="1"/>
  <c r="P447" i="1"/>
  <c r="Q447" i="1" s="1"/>
  <c r="M447" i="1"/>
  <c r="T447" i="1" s="1"/>
  <c r="E447" i="1"/>
  <c r="S447" i="1" s="1"/>
  <c r="AN446" i="1"/>
  <c r="AM446" i="1"/>
  <c r="AG446" i="1" s="1"/>
  <c r="AL446" i="1"/>
  <c r="AK446" i="1"/>
  <c r="AQ446" i="1" s="1"/>
  <c r="AS446" i="1" s="1"/>
  <c r="AT446" i="1" s="1"/>
  <c r="AJ446" i="1"/>
  <c r="AR446" i="1" s="1"/>
  <c r="AE446" i="1"/>
  <c r="AD446" i="1"/>
  <c r="X446" i="1"/>
  <c r="P446" i="1"/>
  <c r="Q446" i="1" s="1"/>
  <c r="M446" i="1"/>
  <c r="E446" i="1"/>
  <c r="AQ445" i="1"/>
  <c r="AS445" i="1" s="1"/>
  <c r="AT445" i="1" s="1"/>
  <c r="AM445" i="1"/>
  <c r="AL445" i="1"/>
  <c r="AK445" i="1"/>
  <c r="AJ445" i="1"/>
  <c r="AR445" i="1" s="1"/>
  <c r="AD445" i="1"/>
  <c r="X445" i="1"/>
  <c r="S445" i="1"/>
  <c r="Q445" i="1"/>
  <c r="P445" i="1"/>
  <c r="M445" i="1"/>
  <c r="T445" i="1" s="1"/>
  <c r="E445" i="1"/>
  <c r="AL444" i="1"/>
  <c r="AM444" i="1" s="1"/>
  <c r="AK444" i="1"/>
  <c r="AQ444" i="1" s="1"/>
  <c r="AS444" i="1" s="1"/>
  <c r="AJ444" i="1"/>
  <c r="AR444" i="1" s="1"/>
  <c r="AE444" i="1"/>
  <c r="X444" i="1"/>
  <c r="AD444" i="1" s="1"/>
  <c r="T444" i="1"/>
  <c r="Q444" i="1"/>
  <c r="P444" i="1"/>
  <c r="M444" i="1"/>
  <c r="E444" i="1"/>
  <c r="S444" i="1" s="1"/>
  <c r="AL443" i="1"/>
  <c r="AK443" i="1"/>
  <c r="AQ443" i="1" s="1"/>
  <c r="AS443" i="1" s="1"/>
  <c r="AJ443" i="1"/>
  <c r="AR443" i="1" s="1"/>
  <c r="X443" i="1"/>
  <c r="AD443" i="1" s="1"/>
  <c r="T443" i="1"/>
  <c r="S443" i="1"/>
  <c r="P443" i="1"/>
  <c r="Q443" i="1" s="1"/>
  <c r="M443" i="1"/>
  <c r="E443" i="1"/>
  <c r="AQ442" i="1"/>
  <c r="AL442" i="1"/>
  <c r="AK442" i="1"/>
  <c r="AJ442" i="1"/>
  <c r="AR442" i="1" s="1"/>
  <c r="AA442" i="1"/>
  <c r="AB442" i="1" s="1"/>
  <c r="AD442" i="1" s="1"/>
  <c r="X442" i="1"/>
  <c r="T442" i="1"/>
  <c r="S442" i="1"/>
  <c r="Q442" i="1"/>
  <c r="P442" i="1"/>
  <c r="M442" i="1"/>
  <c r="AR441" i="1"/>
  <c r="AQ441" i="1"/>
  <c r="AL441" i="1"/>
  <c r="AK441" i="1"/>
  <c r="AJ441" i="1"/>
  <c r="AB441" i="1"/>
  <c r="AD441" i="1" s="1"/>
  <c r="X441" i="1"/>
  <c r="T441" i="1"/>
  <c r="S441" i="1"/>
  <c r="P441" i="1"/>
  <c r="Q441" i="1" s="1"/>
  <c r="M441" i="1"/>
  <c r="AQ440" i="1"/>
  <c r="AL440" i="1"/>
  <c r="AK440" i="1"/>
  <c r="AJ440" i="1"/>
  <c r="AM440" i="1" s="1"/>
  <c r="AE440" i="1"/>
  <c r="AB440" i="1"/>
  <c r="X440" i="1"/>
  <c r="AD440" i="1" s="1"/>
  <c r="S440" i="1"/>
  <c r="Q440" i="1"/>
  <c r="P440" i="1"/>
  <c r="M440" i="1"/>
  <c r="T440" i="1" s="1"/>
  <c r="AL439" i="1"/>
  <c r="AK439" i="1"/>
  <c r="AJ439" i="1"/>
  <c r="AE439" i="1" s="1"/>
  <c r="AB439" i="1"/>
  <c r="AD439" i="1" s="1"/>
  <c r="X439" i="1"/>
  <c r="Q439" i="1"/>
  <c r="P439" i="1"/>
  <c r="L439" i="1"/>
  <c r="M439" i="1" s="1"/>
  <c r="T439" i="1" s="1"/>
  <c r="AL438" i="1"/>
  <c r="AK438" i="1"/>
  <c r="AJ438" i="1"/>
  <c r="AE438" i="1" s="1"/>
  <c r="AB438" i="1"/>
  <c r="AD438" i="1" s="1"/>
  <c r="X438" i="1"/>
  <c r="Q438" i="1"/>
  <c r="P438" i="1"/>
  <c r="L438" i="1"/>
  <c r="M438" i="1" s="1"/>
  <c r="T438" i="1" s="1"/>
  <c r="AQ437" i="1"/>
  <c r="AL437" i="1"/>
  <c r="AM437" i="1" s="1"/>
  <c r="AK437" i="1"/>
  <c r="AJ437" i="1"/>
  <c r="AE437" i="1" s="1"/>
  <c r="AB437" i="1"/>
  <c r="AD437" i="1" s="1"/>
  <c r="X437" i="1"/>
  <c r="T437" i="1"/>
  <c r="S437" i="1"/>
  <c r="Q437" i="1"/>
  <c r="P437" i="1"/>
  <c r="M437" i="1"/>
  <c r="AL436" i="1"/>
  <c r="AK436" i="1"/>
  <c r="AQ436" i="1" s="1"/>
  <c r="AJ436" i="1"/>
  <c r="AM436" i="1" s="1"/>
  <c r="AN436" i="1" s="1"/>
  <c r="AP436" i="1" s="1"/>
  <c r="AE436" i="1"/>
  <c r="AB436" i="1"/>
  <c r="AD436" i="1" s="1"/>
  <c r="X436" i="1"/>
  <c r="S436" i="1"/>
  <c r="P436" i="1"/>
  <c r="Q436" i="1" s="1"/>
  <c r="M436" i="1"/>
  <c r="T436" i="1" s="1"/>
  <c r="AN435" i="1"/>
  <c r="AM435" i="1"/>
  <c r="AG435" i="1" s="1"/>
  <c r="AL435" i="1"/>
  <c r="AK435" i="1"/>
  <c r="AQ435" i="1" s="1"/>
  <c r="AS435" i="1" s="1"/>
  <c r="AT435" i="1" s="1"/>
  <c r="AJ435" i="1"/>
  <c r="AR435" i="1" s="1"/>
  <c r="AE435" i="1"/>
  <c r="AD435" i="1"/>
  <c r="AB435" i="1"/>
  <c r="X435" i="1"/>
  <c r="S435" i="1"/>
  <c r="P435" i="1"/>
  <c r="Q435" i="1" s="1"/>
  <c r="M435" i="1"/>
  <c r="T435" i="1" s="1"/>
  <c r="AQ434" i="1"/>
  <c r="AM434" i="1"/>
  <c r="AL434" i="1"/>
  <c r="AK434" i="1"/>
  <c r="AJ434" i="1"/>
  <c r="AR434" i="1" s="1"/>
  <c r="AD434" i="1"/>
  <c r="AB434" i="1"/>
  <c r="X434" i="1"/>
  <c r="T434" i="1"/>
  <c r="S434" i="1"/>
  <c r="P434" i="1"/>
  <c r="Q434" i="1" s="1"/>
  <c r="M434" i="1"/>
  <c r="AL433" i="1"/>
  <c r="AM433" i="1" s="1"/>
  <c r="AK433" i="1"/>
  <c r="AQ433" i="1" s="1"/>
  <c r="AJ433" i="1"/>
  <c r="AR433" i="1" s="1"/>
  <c r="AE433" i="1"/>
  <c r="AB433" i="1"/>
  <c r="AD433" i="1" s="1"/>
  <c r="X433" i="1"/>
  <c r="S433" i="1"/>
  <c r="Q433" i="1"/>
  <c r="P433" i="1"/>
  <c r="M433" i="1"/>
  <c r="T433" i="1" s="1"/>
  <c r="AS432" i="1"/>
  <c r="AL432" i="1"/>
  <c r="AK432" i="1"/>
  <c r="AQ432" i="1" s="1"/>
  <c r="AJ432" i="1"/>
  <c r="AR432" i="1" s="1"/>
  <c r="AB432" i="1"/>
  <c r="X432" i="1"/>
  <c r="T432" i="1"/>
  <c r="S432" i="1"/>
  <c r="P432" i="1"/>
  <c r="Q432" i="1" s="1"/>
  <c r="M432" i="1"/>
  <c r="AR431" i="1"/>
  <c r="AQ431" i="1"/>
  <c r="AL431" i="1"/>
  <c r="AK431" i="1"/>
  <c r="AJ431" i="1"/>
  <c r="AB431" i="1"/>
  <c r="AD431" i="1" s="1"/>
  <c r="X431" i="1"/>
  <c r="T431" i="1"/>
  <c r="S431" i="1"/>
  <c r="P431" i="1"/>
  <c r="Q431" i="1" s="1"/>
  <c r="M431" i="1"/>
  <c r="AQ430" i="1"/>
  <c r="AS430" i="1" s="1"/>
  <c r="AT430" i="1" s="1"/>
  <c r="AM430" i="1"/>
  <c r="AG430" i="1" s="1"/>
  <c r="AH430" i="1" s="1"/>
  <c r="AL430" i="1"/>
  <c r="AK430" i="1"/>
  <c r="AJ430" i="1"/>
  <c r="AR430" i="1" s="1"/>
  <c r="AI430" i="1"/>
  <c r="AE430" i="1"/>
  <c r="AD430" i="1"/>
  <c r="AB430" i="1"/>
  <c r="V430" i="1"/>
  <c r="S430" i="1"/>
  <c r="Q430" i="1"/>
  <c r="P430" i="1"/>
  <c r="M430" i="1"/>
  <c r="T430" i="1" s="1"/>
  <c r="AO429" i="1"/>
  <c r="AL429" i="1"/>
  <c r="AM429" i="1" s="1"/>
  <c r="AN429" i="1" s="1"/>
  <c r="AP429" i="1" s="1"/>
  <c r="AK429" i="1"/>
  <c r="AJ429" i="1"/>
  <c r="AE429" i="1" s="1"/>
  <c r="AG429" i="1"/>
  <c r="AI429" i="1" s="1"/>
  <c r="AB429" i="1"/>
  <c r="AD429" i="1" s="1"/>
  <c r="V429" i="1"/>
  <c r="T429" i="1"/>
  <c r="S429" i="1"/>
  <c r="P429" i="1"/>
  <c r="Q429" i="1" s="1"/>
  <c r="M429" i="1"/>
  <c r="G429" i="1"/>
  <c r="AQ429" i="1" s="1"/>
  <c r="AQ428" i="1"/>
  <c r="AO428" i="1"/>
  <c r="AL428" i="1"/>
  <c r="AM428" i="1" s="1"/>
  <c r="AN428" i="1" s="1"/>
  <c r="AP428" i="1" s="1"/>
  <c r="AK428" i="1"/>
  <c r="AJ428" i="1"/>
  <c r="AE428" i="1" s="1"/>
  <c r="AG428" i="1"/>
  <c r="AI428" i="1" s="1"/>
  <c r="AB428" i="1"/>
  <c r="AD428" i="1" s="1"/>
  <c r="V428" i="1"/>
  <c r="T428" i="1"/>
  <c r="S428" i="1"/>
  <c r="P428" i="1"/>
  <c r="Q428" i="1" s="1"/>
  <c r="M428" i="1"/>
  <c r="AN427" i="1"/>
  <c r="AL427" i="1"/>
  <c r="AK427" i="1"/>
  <c r="AQ427" i="1" s="1"/>
  <c r="AJ427" i="1"/>
  <c r="AM427" i="1" s="1"/>
  <c r="AG427" i="1"/>
  <c r="AE427" i="1"/>
  <c r="AB427" i="1"/>
  <c r="AD427" i="1" s="1"/>
  <c r="V427" i="1"/>
  <c r="AO427" i="1" s="1"/>
  <c r="S427" i="1"/>
  <c r="P427" i="1"/>
  <c r="Q427" i="1" s="1"/>
  <c r="M427" i="1"/>
  <c r="T427" i="1" s="1"/>
  <c r="G427" i="1"/>
  <c r="AN426" i="1"/>
  <c r="AP426" i="1" s="1"/>
  <c r="AL426" i="1"/>
  <c r="AK426" i="1"/>
  <c r="AQ426" i="1" s="1"/>
  <c r="AJ426" i="1"/>
  <c r="AM426" i="1" s="1"/>
  <c r="AG426" i="1" s="1"/>
  <c r="AE426" i="1"/>
  <c r="AB426" i="1"/>
  <c r="AD426" i="1" s="1"/>
  <c r="V426" i="1"/>
  <c r="S426" i="1"/>
  <c r="P426" i="1"/>
  <c r="Q426" i="1" s="1"/>
  <c r="M426" i="1"/>
  <c r="T426" i="1" s="1"/>
  <c r="AR425" i="1"/>
  <c r="AK425" i="1"/>
  <c r="AQ425" i="1" s="1"/>
  <c r="AS425" i="1" s="1"/>
  <c r="AJ425" i="1"/>
  <c r="AM425" i="1" s="1"/>
  <c r="AE425" i="1"/>
  <c r="AD425" i="1"/>
  <c r="AB425" i="1"/>
  <c r="V425" i="1"/>
  <c r="T425" i="1"/>
  <c r="S425" i="1"/>
  <c r="P425" i="1"/>
  <c r="Q425" i="1" s="1"/>
  <c r="M425" i="1"/>
  <c r="G425" i="1"/>
  <c r="AL425" i="1" s="1"/>
  <c r="AJ424" i="1"/>
  <c r="AF424" i="1"/>
  <c r="AB424" i="1"/>
  <c r="AD424" i="1" s="1"/>
  <c r="AA424" i="1"/>
  <c r="Y424" i="1"/>
  <c r="X424" i="1"/>
  <c r="V424" i="1"/>
  <c r="U424" i="1"/>
  <c r="R424" i="1"/>
  <c r="O424" i="1"/>
  <c r="P424" i="1" s="1"/>
  <c r="L424" i="1"/>
  <c r="J424" i="1"/>
  <c r="I424" i="1"/>
  <c r="H424" i="1"/>
  <c r="G424" i="1"/>
  <c r="F424" i="1"/>
  <c r="E424" i="1"/>
  <c r="D424" i="1"/>
  <c r="C424" i="1"/>
  <c r="AK424" i="1" s="1"/>
  <c r="AQ424" i="1" s="1"/>
  <c r="AF423" i="1"/>
  <c r="AJ423" i="1" s="1"/>
  <c r="AA423" i="1"/>
  <c r="AB423" i="1" s="1"/>
  <c r="AD423" i="1" s="1"/>
  <c r="Y423" i="1"/>
  <c r="X423" i="1"/>
  <c r="V423" i="1"/>
  <c r="U423" i="1"/>
  <c r="R423" i="1"/>
  <c r="O423" i="1"/>
  <c r="P423" i="1" s="1"/>
  <c r="Q423" i="1" s="1"/>
  <c r="L423" i="1"/>
  <c r="J423" i="1"/>
  <c r="H423" i="1"/>
  <c r="G423" i="1"/>
  <c r="F423" i="1"/>
  <c r="E423" i="1"/>
  <c r="D423" i="1"/>
  <c r="C423" i="1"/>
  <c r="AL423" i="1" s="1"/>
  <c r="AJ422" i="1"/>
  <c r="AF422" i="1"/>
  <c r="AB422" i="1"/>
  <c r="AD422" i="1" s="1"/>
  <c r="AA422" i="1"/>
  <c r="Y422" i="1"/>
  <c r="X422" i="1"/>
  <c r="V422" i="1"/>
  <c r="U422" i="1"/>
  <c r="R422" i="1"/>
  <c r="O422" i="1"/>
  <c r="P422" i="1" s="1"/>
  <c r="L422" i="1"/>
  <c r="J422" i="1"/>
  <c r="I422" i="1"/>
  <c r="H422" i="1"/>
  <c r="G422" i="1"/>
  <c r="F422" i="1"/>
  <c r="E422" i="1"/>
  <c r="D422" i="1"/>
  <c r="C422" i="1"/>
  <c r="AK422" i="1" s="1"/>
  <c r="AQ422" i="1" s="1"/>
  <c r="AF421" i="1"/>
  <c r="AJ421" i="1" s="1"/>
  <c r="AA421" i="1"/>
  <c r="AB421" i="1" s="1"/>
  <c r="AD421" i="1" s="1"/>
  <c r="Y421" i="1"/>
  <c r="X421" i="1"/>
  <c r="V421" i="1"/>
  <c r="U421" i="1"/>
  <c r="R421" i="1"/>
  <c r="O421" i="1"/>
  <c r="P421" i="1" s="1"/>
  <c r="Q421" i="1" s="1"/>
  <c r="L421" i="1"/>
  <c r="J421" i="1"/>
  <c r="H421" i="1"/>
  <c r="G421" i="1"/>
  <c r="F421" i="1"/>
  <c r="E421" i="1"/>
  <c r="D421" i="1"/>
  <c r="C421" i="1"/>
  <c r="AL421" i="1" s="1"/>
  <c r="AL420" i="1"/>
  <c r="AK420" i="1"/>
  <c r="AQ420" i="1" s="1"/>
  <c r="AJ420" i="1"/>
  <c r="AD420" i="1"/>
  <c r="AB420" i="1"/>
  <c r="V420" i="1"/>
  <c r="T420" i="1"/>
  <c r="S420" i="1"/>
  <c r="P420" i="1"/>
  <c r="Q420" i="1" s="1"/>
  <c r="M420" i="1"/>
  <c r="AM419" i="1"/>
  <c r="AL419" i="1"/>
  <c r="AK419" i="1"/>
  <c r="AJ419" i="1"/>
  <c r="AE419" i="1"/>
  <c r="AD419" i="1"/>
  <c r="AB419" i="1"/>
  <c r="X419" i="1"/>
  <c r="S419" i="1"/>
  <c r="P419" i="1"/>
  <c r="Q419" i="1" s="1"/>
  <c r="L419" i="1"/>
  <c r="M419" i="1" s="1"/>
  <c r="T419" i="1" s="1"/>
  <c r="AQ418" i="1"/>
  <c r="AS418" i="1" s="1"/>
  <c r="AT418" i="1" s="1"/>
  <c r="AM418" i="1"/>
  <c r="AL418" i="1"/>
  <c r="AK418" i="1"/>
  <c r="AJ418" i="1"/>
  <c r="AR418" i="1" s="1"/>
  <c r="AD418" i="1"/>
  <c r="AB418" i="1"/>
  <c r="X418" i="1"/>
  <c r="S418" i="1"/>
  <c r="P418" i="1"/>
  <c r="Q418" i="1" s="1"/>
  <c r="M418" i="1"/>
  <c r="T418" i="1" s="1"/>
  <c r="L418" i="1"/>
  <c r="AQ417" i="1"/>
  <c r="AL417" i="1"/>
  <c r="AK417" i="1"/>
  <c r="AJ417" i="1"/>
  <c r="AB417" i="1"/>
  <c r="AD417" i="1" s="1"/>
  <c r="X417" i="1"/>
  <c r="S417" i="1"/>
  <c r="P417" i="1"/>
  <c r="Q417" i="1" s="1"/>
  <c r="M417" i="1"/>
  <c r="T417" i="1" s="1"/>
  <c r="L417" i="1"/>
  <c r="AR416" i="1"/>
  <c r="AQ416" i="1"/>
  <c r="AS416" i="1" s="1"/>
  <c r="AL416" i="1"/>
  <c r="AM416" i="1" s="1"/>
  <c r="AG416" i="1" s="1"/>
  <c r="AK416" i="1"/>
  <c r="AJ416" i="1"/>
  <c r="AE416" i="1" s="1"/>
  <c r="AD416" i="1"/>
  <c r="AB416" i="1"/>
  <c r="X416" i="1"/>
  <c r="S416" i="1"/>
  <c r="P416" i="1"/>
  <c r="Q416" i="1" s="1"/>
  <c r="M416" i="1"/>
  <c r="T416" i="1" s="1"/>
  <c r="L416" i="1"/>
  <c r="AQ415" i="1"/>
  <c r="AL415" i="1"/>
  <c r="AK415" i="1"/>
  <c r="AJ415" i="1"/>
  <c r="AI415" i="1"/>
  <c r="AH415" i="1"/>
  <c r="AB415" i="1"/>
  <c r="AD415" i="1" s="1"/>
  <c r="Q415" i="1"/>
  <c r="P415" i="1"/>
  <c r="M415" i="1"/>
  <c r="T415" i="1" s="1"/>
  <c r="L415" i="1"/>
  <c r="S415" i="1" s="1"/>
  <c r="G415" i="1"/>
  <c r="AR414" i="1"/>
  <c r="AK414" i="1"/>
  <c r="AQ414" i="1" s="1"/>
  <c r="AS414" i="1" s="1"/>
  <c r="AJ414" i="1"/>
  <c r="AE414" i="1" s="1"/>
  <c r="AI414" i="1"/>
  <c r="AH414" i="1"/>
  <c r="AD414" i="1"/>
  <c r="AB414" i="1"/>
  <c r="S414" i="1"/>
  <c r="Q414" i="1"/>
  <c r="P414" i="1"/>
  <c r="M414" i="1"/>
  <c r="T414" i="1" s="1"/>
  <c r="L414" i="1"/>
  <c r="G414" i="1"/>
  <c r="AL414" i="1" s="1"/>
  <c r="AM414" i="1" s="1"/>
  <c r="AN414" i="1" s="1"/>
  <c r="AK413" i="1"/>
  <c r="AJ413" i="1"/>
  <c r="AE413" i="1" s="1"/>
  <c r="AI413" i="1"/>
  <c r="AH413" i="1"/>
  <c r="AD413" i="1"/>
  <c r="AB413" i="1"/>
  <c r="S413" i="1"/>
  <c r="Q413" i="1"/>
  <c r="P413" i="1"/>
  <c r="M413" i="1"/>
  <c r="T413" i="1" s="1"/>
  <c r="L413" i="1"/>
  <c r="G413" i="1"/>
  <c r="AL413" i="1" s="1"/>
  <c r="AM413" i="1" s="1"/>
  <c r="AN413" i="1" s="1"/>
  <c r="AK412" i="1"/>
  <c r="AJ412" i="1"/>
  <c r="AE412" i="1" s="1"/>
  <c r="AI412" i="1"/>
  <c r="AH412" i="1"/>
  <c r="AD412" i="1"/>
  <c r="AB412" i="1"/>
  <c r="S412" i="1"/>
  <c r="Q412" i="1"/>
  <c r="P412" i="1"/>
  <c r="M412" i="1"/>
  <c r="T412" i="1" s="1"/>
  <c r="L412" i="1"/>
  <c r="G412" i="1"/>
  <c r="AL412" i="1" s="1"/>
  <c r="AM412" i="1" s="1"/>
  <c r="AN412" i="1" s="1"/>
  <c r="AK411" i="1"/>
  <c r="AJ411" i="1"/>
  <c r="AE411" i="1" s="1"/>
  <c r="AI411" i="1"/>
  <c r="AH411" i="1"/>
  <c r="AD411" i="1"/>
  <c r="AB411" i="1"/>
  <c r="S411" i="1"/>
  <c r="Q411" i="1"/>
  <c r="P411" i="1"/>
  <c r="M411" i="1"/>
  <c r="T411" i="1" s="1"/>
  <c r="L411" i="1"/>
  <c r="G411" i="1"/>
  <c r="AL411" i="1" s="1"/>
  <c r="AM411" i="1" s="1"/>
  <c r="AN411" i="1" s="1"/>
  <c r="AQ410" i="1"/>
  <c r="AK410" i="1"/>
  <c r="AJ410" i="1"/>
  <c r="AI410" i="1"/>
  <c r="AH410" i="1"/>
  <c r="AD410" i="1"/>
  <c r="AB410" i="1"/>
  <c r="S410" i="1"/>
  <c r="Q410" i="1"/>
  <c r="P410" i="1"/>
  <c r="M410" i="1"/>
  <c r="T410" i="1" s="1"/>
  <c r="L410" i="1"/>
  <c r="G410" i="1"/>
  <c r="AL410" i="1" s="1"/>
  <c r="AK409" i="1"/>
  <c r="AJ409" i="1"/>
  <c r="AF409" i="1" s="1"/>
  <c r="AE409" i="1"/>
  <c r="AC409" i="1"/>
  <c r="AB409" i="1"/>
  <c r="AD409" i="1" s="1"/>
  <c r="V409" i="1"/>
  <c r="S409" i="1"/>
  <c r="P409" i="1"/>
  <c r="Q409" i="1" s="1"/>
  <c r="O409" i="1"/>
  <c r="L409" i="1"/>
  <c r="M409" i="1" s="1"/>
  <c r="T409" i="1" s="1"/>
  <c r="F409" i="1"/>
  <c r="AL409" i="1" s="1"/>
  <c r="AM409" i="1" s="1"/>
  <c r="AM408" i="1"/>
  <c r="AK408" i="1"/>
  <c r="AJ408" i="1"/>
  <c r="AR408" i="1" s="1"/>
  <c r="AF408" i="1"/>
  <c r="AE408" i="1"/>
  <c r="AC408" i="1"/>
  <c r="AB408" i="1"/>
  <c r="AD408" i="1" s="1"/>
  <c r="V408" i="1"/>
  <c r="P408" i="1"/>
  <c r="Q408" i="1" s="1"/>
  <c r="O408" i="1"/>
  <c r="M408" i="1"/>
  <c r="T408" i="1" s="1"/>
  <c r="L408" i="1"/>
  <c r="S408" i="1" s="1"/>
  <c r="F408" i="1"/>
  <c r="AL408" i="1" s="1"/>
  <c r="AQ407" i="1"/>
  <c r="AM407" i="1"/>
  <c r="AN407" i="1" s="1"/>
  <c r="AK407" i="1"/>
  <c r="AJ407" i="1"/>
  <c r="AF407" i="1" s="1"/>
  <c r="AC407" i="1"/>
  <c r="AB407" i="1"/>
  <c r="AD407" i="1" s="1"/>
  <c r="V407" i="1"/>
  <c r="P407" i="1"/>
  <c r="Q407" i="1" s="1"/>
  <c r="O407" i="1"/>
  <c r="L407" i="1"/>
  <c r="M407" i="1" s="1"/>
  <c r="T407" i="1" s="1"/>
  <c r="F407" i="1"/>
  <c r="AL407" i="1" s="1"/>
  <c r="AK406" i="1"/>
  <c r="AQ406" i="1" s="1"/>
  <c r="AS406" i="1" s="1"/>
  <c r="AT406" i="1" s="1"/>
  <c r="AJ406" i="1"/>
  <c r="AR406" i="1" s="1"/>
  <c r="AF406" i="1"/>
  <c r="AE406" i="1"/>
  <c r="AC406" i="1"/>
  <c r="AB406" i="1"/>
  <c r="AD406" i="1" s="1"/>
  <c r="V406" i="1"/>
  <c r="Q406" i="1"/>
  <c r="P406" i="1"/>
  <c r="O406" i="1"/>
  <c r="M406" i="1"/>
  <c r="T406" i="1" s="1"/>
  <c r="L406" i="1"/>
  <c r="S406" i="1" s="1"/>
  <c r="F406" i="1"/>
  <c r="AL406" i="1" s="1"/>
  <c r="AM406" i="1" s="1"/>
  <c r="AR405" i="1"/>
  <c r="AK405" i="1"/>
  <c r="AJ405" i="1"/>
  <c r="AF405" i="1" s="1"/>
  <c r="AE405" i="1"/>
  <c r="AC405" i="1"/>
  <c r="AB405" i="1"/>
  <c r="AD405" i="1" s="1"/>
  <c r="V405" i="1"/>
  <c r="S405" i="1"/>
  <c r="P405" i="1"/>
  <c r="Q405" i="1" s="1"/>
  <c r="O405" i="1"/>
  <c r="L405" i="1"/>
  <c r="M405" i="1" s="1"/>
  <c r="T405" i="1" s="1"/>
  <c r="F405" i="1"/>
  <c r="AL405" i="1" s="1"/>
  <c r="AM404" i="1"/>
  <c r="AG404" i="1" s="1"/>
  <c r="AK404" i="1"/>
  <c r="AQ404" i="1" s="1"/>
  <c r="AS404" i="1" s="1"/>
  <c r="AT404" i="1" s="1"/>
  <c r="AJ404" i="1"/>
  <c r="AR404" i="1" s="1"/>
  <c r="AF404" i="1"/>
  <c r="AE404" i="1"/>
  <c r="AC404" i="1"/>
  <c r="AB404" i="1"/>
  <c r="AD404" i="1" s="1"/>
  <c r="V404" i="1"/>
  <c r="P404" i="1"/>
  <c r="Q404" i="1" s="1"/>
  <c r="O404" i="1"/>
  <c r="M404" i="1"/>
  <c r="T404" i="1" s="1"/>
  <c r="L404" i="1"/>
  <c r="S404" i="1" s="1"/>
  <c r="F404" i="1"/>
  <c r="AL404" i="1" s="1"/>
  <c r="AQ403" i="1"/>
  <c r="AM403" i="1"/>
  <c r="AL403" i="1"/>
  <c r="AK403" i="1"/>
  <c r="AJ403" i="1"/>
  <c r="AF403" i="1" s="1"/>
  <c r="AE403" i="1"/>
  <c r="AD403" i="1"/>
  <c r="V403" i="1"/>
  <c r="T403" i="1"/>
  <c r="S403" i="1"/>
  <c r="P403" i="1"/>
  <c r="Q403" i="1" s="1"/>
  <c r="O403" i="1"/>
  <c r="M403" i="1"/>
  <c r="L403" i="1"/>
  <c r="F403" i="1"/>
  <c r="AQ402" i="1"/>
  <c r="AS402" i="1" s="1"/>
  <c r="AT402" i="1" s="1"/>
  <c r="AL402" i="1"/>
  <c r="AM402" i="1" s="1"/>
  <c r="AN402" i="1" s="1"/>
  <c r="AP402" i="1" s="1"/>
  <c r="AK402" i="1"/>
  <c r="AJ402" i="1"/>
  <c r="AR402" i="1" s="1"/>
  <c r="AG402" i="1"/>
  <c r="AF402" i="1"/>
  <c r="AE402" i="1"/>
  <c r="AB402" i="1"/>
  <c r="AD402" i="1" s="1"/>
  <c r="S402" i="1"/>
  <c r="P402" i="1"/>
  <c r="Q402" i="1" s="1"/>
  <c r="M402" i="1"/>
  <c r="T402" i="1" s="1"/>
  <c r="AL401" i="1"/>
  <c r="AK401" i="1"/>
  <c r="AQ401" i="1" s="1"/>
  <c r="AJ401" i="1"/>
  <c r="AF401" i="1"/>
  <c r="AB401" i="1"/>
  <c r="AD401" i="1" s="1"/>
  <c r="T401" i="1"/>
  <c r="S401" i="1"/>
  <c r="Q401" i="1"/>
  <c r="P401" i="1"/>
  <c r="M401" i="1"/>
  <c r="AR400" i="1"/>
  <c r="AQ400" i="1"/>
  <c r="AS400" i="1" s="1"/>
  <c r="AT400" i="1" s="1"/>
  <c r="AM400" i="1"/>
  <c r="AN400" i="1" s="1"/>
  <c r="AP400" i="1" s="1"/>
  <c r="AL400" i="1"/>
  <c r="AK400" i="1"/>
  <c r="AJ400" i="1"/>
  <c r="AF400" i="1" s="1"/>
  <c r="AE400" i="1"/>
  <c r="AD400" i="1"/>
  <c r="AB400" i="1"/>
  <c r="T400" i="1"/>
  <c r="S400" i="1"/>
  <c r="P400" i="1"/>
  <c r="Q400" i="1" s="1"/>
  <c r="M400" i="1"/>
  <c r="AS399" i="1"/>
  <c r="AT399" i="1" s="1"/>
  <c r="AM399" i="1"/>
  <c r="AG399" i="1" s="1"/>
  <c r="AH399" i="1" s="1"/>
  <c r="AL399" i="1"/>
  <c r="AK399" i="1"/>
  <c r="AQ399" i="1" s="1"/>
  <c r="AJ399" i="1"/>
  <c r="AR399" i="1" s="1"/>
  <c r="AI399" i="1"/>
  <c r="AF399" i="1"/>
  <c r="AE399" i="1"/>
  <c r="AD399" i="1"/>
  <c r="AB399" i="1"/>
  <c r="S399" i="1"/>
  <c r="Q399" i="1"/>
  <c r="P399" i="1"/>
  <c r="M399" i="1"/>
  <c r="T399" i="1" s="1"/>
  <c r="AL398" i="1"/>
  <c r="AK398" i="1"/>
  <c r="AJ398" i="1"/>
  <c r="AF398" i="1" s="1"/>
  <c r="AG398" i="1"/>
  <c r="AI398" i="1" s="1"/>
  <c r="AB398" i="1"/>
  <c r="X398" i="1"/>
  <c r="AD398" i="1" s="1"/>
  <c r="R398" i="1"/>
  <c r="O398" i="1"/>
  <c r="P398" i="1" s="1"/>
  <c r="Q398" i="1" s="1"/>
  <c r="L398" i="1"/>
  <c r="S398" i="1" s="1"/>
  <c r="K398" i="1"/>
  <c r="I398" i="1"/>
  <c r="E398" i="1"/>
  <c r="AQ397" i="1"/>
  <c r="AL397" i="1"/>
  <c r="AK397" i="1"/>
  <c r="AJ397" i="1"/>
  <c r="AR397" i="1" s="1"/>
  <c r="AS397" i="1" s="1"/>
  <c r="AI397" i="1"/>
  <c r="AH397" i="1"/>
  <c r="AG397" i="1"/>
  <c r="AB397" i="1"/>
  <c r="AD397" i="1" s="1"/>
  <c r="X397" i="1"/>
  <c r="R397" i="1"/>
  <c r="P397" i="1"/>
  <c r="Q397" i="1" s="1"/>
  <c r="O397" i="1"/>
  <c r="M397" i="1"/>
  <c r="T397" i="1" s="1"/>
  <c r="L397" i="1"/>
  <c r="S397" i="1" s="1"/>
  <c r="K397" i="1"/>
  <c r="I397" i="1"/>
  <c r="E397" i="1"/>
  <c r="AL396" i="1"/>
  <c r="AK396" i="1"/>
  <c r="AQ396" i="1" s="1"/>
  <c r="AH396" i="1"/>
  <c r="AG396" i="1"/>
  <c r="AB396" i="1"/>
  <c r="AD396" i="1" s="1"/>
  <c r="X396" i="1"/>
  <c r="R396" i="1"/>
  <c r="O396" i="1"/>
  <c r="P396" i="1" s="1"/>
  <c r="Q396" i="1" s="1"/>
  <c r="K396" i="1"/>
  <c r="I396" i="1"/>
  <c r="E396" i="1"/>
  <c r="L396" i="1" s="1"/>
  <c r="M396" i="1" s="1"/>
  <c r="T396" i="1" s="1"/>
  <c r="AL395" i="1"/>
  <c r="AK395" i="1"/>
  <c r="AI395" i="1"/>
  <c r="AG395" i="1"/>
  <c r="AH395" i="1" s="1"/>
  <c r="AD395" i="1"/>
  <c r="AB395" i="1"/>
  <c r="X395" i="1"/>
  <c r="R395" i="1"/>
  <c r="P395" i="1"/>
  <c r="Q395" i="1" s="1"/>
  <c r="O395" i="1"/>
  <c r="K395" i="1"/>
  <c r="I395" i="1"/>
  <c r="E395" i="1"/>
  <c r="L395" i="1" s="1"/>
  <c r="AL394" i="1"/>
  <c r="AK394" i="1"/>
  <c r="AJ394" i="1"/>
  <c r="AH394" i="1"/>
  <c r="AG394" i="1"/>
  <c r="AI394" i="1" s="1"/>
  <c r="AB394" i="1"/>
  <c r="AD394" i="1" s="1"/>
  <c r="X394" i="1"/>
  <c r="R394" i="1"/>
  <c r="O394" i="1"/>
  <c r="P394" i="1" s="1"/>
  <c r="Q394" i="1" s="1"/>
  <c r="L394" i="1"/>
  <c r="S394" i="1" s="1"/>
  <c r="K394" i="1"/>
  <c r="I394" i="1"/>
  <c r="E394" i="1"/>
  <c r="AL393" i="1"/>
  <c r="AK393" i="1"/>
  <c r="AQ393" i="1" s="1"/>
  <c r="AG393" i="1"/>
  <c r="AJ393" i="1" s="1"/>
  <c r="AE393" i="1" s="1"/>
  <c r="AB393" i="1"/>
  <c r="X393" i="1"/>
  <c r="R393" i="1"/>
  <c r="Q393" i="1"/>
  <c r="P393" i="1"/>
  <c r="O393" i="1"/>
  <c r="L393" i="1"/>
  <c r="M393" i="1" s="1"/>
  <c r="T393" i="1" s="1"/>
  <c r="K393" i="1"/>
  <c r="I393" i="1"/>
  <c r="E393" i="1"/>
  <c r="AL392" i="1"/>
  <c r="AK392" i="1"/>
  <c r="AI392" i="1"/>
  <c r="AH392" i="1"/>
  <c r="AG392" i="1"/>
  <c r="AD392" i="1"/>
  <c r="AB392" i="1"/>
  <c r="X392" i="1"/>
  <c r="R392" i="1"/>
  <c r="O392" i="1"/>
  <c r="P392" i="1" s="1"/>
  <c r="Q392" i="1" s="1"/>
  <c r="K392" i="1"/>
  <c r="I392" i="1"/>
  <c r="E392" i="1"/>
  <c r="L392" i="1" s="1"/>
  <c r="M392" i="1" s="1"/>
  <c r="T392" i="1" s="1"/>
  <c r="AL391" i="1"/>
  <c r="AK391" i="1"/>
  <c r="AJ391" i="1"/>
  <c r="AR391" i="1" s="1"/>
  <c r="AG391" i="1"/>
  <c r="AH391" i="1" s="1"/>
  <c r="AB391" i="1"/>
  <c r="AD391" i="1" s="1"/>
  <c r="X391" i="1"/>
  <c r="R391" i="1"/>
  <c r="O391" i="1"/>
  <c r="P391" i="1" s="1"/>
  <c r="Q391" i="1" s="1"/>
  <c r="L391" i="1"/>
  <c r="K391" i="1"/>
  <c r="I391" i="1"/>
  <c r="E391" i="1"/>
  <c r="AL390" i="1"/>
  <c r="AK390" i="1"/>
  <c r="AG390" i="1"/>
  <c r="AD390" i="1"/>
  <c r="AB390" i="1"/>
  <c r="X390" i="1"/>
  <c r="R390" i="1"/>
  <c r="P390" i="1"/>
  <c r="Q390" i="1" s="1"/>
  <c r="O390" i="1"/>
  <c r="K390" i="1"/>
  <c r="I390" i="1"/>
  <c r="E390" i="1"/>
  <c r="L390" i="1" s="1"/>
  <c r="AL389" i="1"/>
  <c r="AK389" i="1"/>
  <c r="AJ389" i="1"/>
  <c r="AH389" i="1"/>
  <c r="AG389" i="1"/>
  <c r="AI389" i="1" s="1"/>
  <c r="AB389" i="1"/>
  <c r="X389" i="1"/>
  <c r="AD389" i="1" s="1"/>
  <c r="R389" i="1"/>
  <c r="O389" i="1"/>
  <c r="P389" i="1" s="1"/>
  <c r="Q389" i="1" s="1"/>
  <c r="L389" i="1"/>
  <c r="K389" i="1"/>
  <c r="I389" i="1"/>
  <c r="E389" i="1"/>
  <c r="AL388" i="1"/>
  <c r="AK388" i="1"/>
  <c r="AJ388" i="1"/>
  <c r="AF388" i="1" s="1"/>
  <c r="AI388" i="1"/>
  <c r="AH388" i="1"/>
  <c r="AG388" i="1"/>
  <c r="AB388" i="1"/>
  <c r="X388" i="1"/>
  <c r="AD388" i="1" s="1"/>
  <c r="S388" i="1"/>
  <c r="R388" i="1"/>
  <c r="O388" i="1"/>
  <c r="P388" i="1" s="1"/>
  <c r="Q388" i="1" s="1"/>
  <c r="L388" i="1"/>
  <c r="M388" i="1" s="1"/>
  <c r="T388" i="1" s="1"/>
  <c r="K388" i="1"/>
  <c r="I388" i="1"/>
  <c r="E388" i="1"/>
  <c r="AN387" i="1"/>
  <c r="AL387" i="1"/>
  <c r="AK387" i="1"/>
  <c r="AQ387" i="1" s="1"/>
  <c r="AJ387" i="1"/>
  <c r="AM387" i="1" s="1"/>
  <c r="AH387" i="1"/>
  <c r="AG387" i="1"/>
  <c r="AI387" i="1" s="1"/>
  <c r="AF387" i="1"/>
  <c r="AD387" i="1"/>
  <c r="AB387" i="1"/>
  <c r="X387" i="1"/>
  <c r="S387" i="1"/>
  <c r="R387" i="1"/>
  <c r="O387" i="1"/>
  <c r="P387" i="1" s="1"/>
  <c r="Q387" i="1" s="1"/>
  <c r="L387" i="1"/>
  <c r="M387" i="1" s="1"/>
  <c r="T387" i="1" s="1"/>
  <c r="K387" i="1"/>
  <c r="I387" i="1"/>
  <c r="E387" i="1"/>
  <c r="AR386" i="1"/>
  <c r="AL386" i="1"/>
  <c r="AK386" i="1"/>
  <c r="AJ386" i="1"/>
  <c r="AI386" i="1"/>
  <c r="AH386" i="1"/>
  <c r="AG386" i="1"/>
  <c r="AF386" i="1"/>
  <c r="AB386" i="1"/>
  <c r="X386" i="1"/>
  <c r="AD386" i="1" s="1"/>
  <c r="R386" i="1"/>
  <c r="Q386" i="1"/>
  <c r="O386" i="1"/>
  <c r="P386" i="1" s="1"/>
  <c r="L386" i="1"/>
  <c r="K386" i="1"/>
  <c r="I386" i="1"/>
  <c r="E386" i="1"/>
  <c r="AL385" i="1"/>
  <c r="AK385" i="1"/>
  <c r="AQ385" i="1" s="1"/>
  <c r="AJ385" i="1"/>
  <c r="AH385" i="1"/>
  <c r="AG385" i="1"/>
  <c r="AI385" i="1" s="1"/>
  <c r="AD385" i="1"/>
  <c r="AB385" i="1"/>
  <c r="X385" i="1"/>
  <c r="S385" i="1"/>
  <c r="R385" i="1"/>
  <c r="O385" i="1"/>
  <c r="P385" i="1" s="1"/>
  <c r="Q385" i="1" s="1"/>
  <c r="L385" i="1"/>
  <c r="M385" i="1" s="1"/>
  <c r="T385" i="1" s="1"/>
  <c r="K385" i="1"/>
  <c r="I385" i="1"/>
  <c r="E385" i="1"/>
  <c r="AL384" i="1"/>
  <c r="AK384" i="1"/>
  <c r="AJ384" i="1"/>
  <c r="AI384" i="1"/>
  <c r="AH384" i="1"/>
  <c r="AG384" i="1"/>
  <c r="AD384" i="1"/>
  <c r="AB384" i="1"/>
  <c r="X384" i="1"/>
  <c r="S384" i="1"/>
  <c r="R384" i="1"/>
  <c r="O384" i="1"/>
  <c r="P384" i="1" s="1"/>
  <c r="Q384" i="1" s="1"/>
  <c r="L384" i="1"/>
  <c r="K384" i="1"/>
  <c r="I384" i="1"/>
  <c r="E384" i="1"/>
  <c r="AL383" i="1"/>
  <c r="AK383" i="1"/>
  <c r="AJ383" i="1"/>
  <c r="AH383" i="1"/>
  <c r="AG383" i="1"/>
  <c r="AI383" i="1" s="1"/>
  <c r="AF383" i="1"/>
  <c r="AB383" i="1"/>
  <c r="X383" i="1"/>
  <c r="AD383" i="1" s="1"/>
  <c r="R383" i="1"/>
  <c r="O383" i="1"/>
  <c r="P383" i="1" s="1"/>
  <c r="Q383" i="1" s="1"/>
  <c r="L383" i="1"/>
  <c r="M383" i="1" s="1"/>
  <c r="T383" i="1" s="1"/>
  <c r="K383" i="1"/>
  <c r="I383" i="1"/>
  <c r="E383" i="1"/>
  <c r="AL382" i="1"/>
  <c r="AK382" i="1"/>
  <c r="AJ382" i="1"/>
  <c r="AR382" i="1" s="1"/>
  <c r="AI382" i="1"/>
  <c r="AH382" i="1"/>
  <c r="AG382" i="1"/>
  <c r="AD382" i="1"/>
  <c r="AB382" i="1"/>
  <c r="X382" i="1"/>
  <c r="S382" i="1"/>
  <c r="R382" i="1"/>
  <c r="O382" i="1"/>
  <c r="P382" i="1" s="1"/>
  <c r="Q382" i="1" s="1"/>
  <c r="L382" i="1"/>
  <c r="K382" i="1"/>
  <c r="I382" i="1"/>
  <c r="E382" i="1"/>
  <c r="AL381" i="1"/>
  <c r="AK381" i="1"/>
  <c r="AQ381" i="1" s="1"/>
  <c r="AS381" i="1" s="1"/>
  <c r="AJ381" i="1"/>
  <c r="AR381" i="1" s="1"/>
  <c r="AH381" i="1"/>
  <c r="AG381" i="1"/>
  <c r="AI381" i="1" s="1"/>
  <c r="AD381" i="1"/>
  <c r="AB381" i="1"/>
  <c r="X381" i="1"/>
  <c r="S381" i="1"/>
  <c r="R381" i="1"/>
  <c r="O381" i="1"/>
  <c r="P381" i="1" s="1"/>
  <c r="Q381" i="1" s="1"/>
  <c r="L381" i="1"/>
  <c r="M381" i="1" s="1"/>
  <c r="T381" i="1" s="1"/>
  <c r="K381" i="1"/>
  <c r="I381" i="1"/>
  <c r="E381" i="1"/>
  <c r="AR380" i="1"/>
  <c r="AL380" i="1"/>
  <c r="AK380" i="1"/>
  <c r="AJ380" i="1"/>
  <c r="AI380" i="1"/>
  <c r="AH380" i="1"/>
  <c r="AG380" i="1"/>
  <c r="AD380" i="1"/>
  <c r="AB380" i="1"/>
  <c r="X380" i="1"/>
  <c r="S380" i="1"/>
  <c r="R380" i="1"/>
  <c r="Q380" i="1"/>
  <c r="O380" i="1"/>
  <c r="P380" i="1" s="1"/>
  <c r="L380" i="1"/>
  <c r="K380" i="1"/>
  <c r="I380" i="1"/>
  <c r="E380" i="1"/>
  <c r="AL379" i="1"/>
  <c r="AK379" i="1"/>
  <c r="AQ379" i="1" s="1"/>
  <c r="AJ379" i="1"/>
  <c r="AR379" i="1" s="1"/>
  <c r="AH379" i="1"/>
  <c r="AG379" i="1"/>
  <c r="AI379" i="1" s="1"/>
  <c r="AD379" i="1"/>
  <c r="AB379" i="1"/>
  <c r="X379" i="1"/>
  <c r="S379" i="1"/>
  <c r="R379" i="1"/>
  <c r="O379" i="1"/>
  <c r="P379" i="1" s="1"/>
  <c r="Q379" i="1" s="1"/>
  <c r="L379" i="1"/>
  <c r="M379" i="1" s="1"/>
  <c r="T379" i="1" s="1"/>
  <c r="K379" i="1"/>
  <c r="I379" i="1"/>
  <c r="E379" i="1"/>
  <c r="AL378" i="1"/>
  <c r="AK378" i="1"/>
  <c r="AJ378" i="1"/>
  <c r="AR378" i="1" s="1"/>
  <c r="AI378" i="1"/>
  <c r="AH378" i="1"/>
  <c r="AG378" i="1"/>
  <c r="AB378" i="1"/>
  <c r="X378" i="1"/>
  <c r="AD378" i="1" s="1"/>
  <c r="S378" i="1"/>
  <c r="R378" i="1"/>
  <c r="Q378" i="1"/>
  <c r="O378" i="1"/>
  <c r="P378" i="1" s="1"/>
  <c r="L378" i="1"/>
  <c r="K378" i="1"/>
  <c r="I378" i="1"/>
  <c r="E378" i="1"/>
  <c r="AL377" i="1"/>
  <c r="AK377" i="1"/>
  <c r="AQ377" i="1" s="1"/>
  <c r="AJ377" i="1"/>
  <c r="AH377" i="1"/>
  <c r="AG377" i="1"/>
  <c r="AI377" i="1" s="1"/>
  <c r="AD377" i="1"/>
  <c r="AB377" i="1"/>
  <c r="X377" i="1"/>
  <c r="S377" i="1"/>
  <c r="R377" i="1"/>
  <c r="Q377" i="1"/>
  <c r="O377" i="1"/>
  <c r="P377" i="1" s="1"/>
  <c r="L377" i="1"/>
  <c r="M377" i="1" s="1"/>
  <c r="T377" i="1" s="1"/>
  <c r="K377" i="1"/>
  <c r="I377" i="1"/>
  <c r="E377" i="1"/>
  <c r="AL376" i="1"/>
  <c r="AK376" i="1"/>
  <c r="AJ376" i="1"/>
  <c r="AI376" i="1"/>
  <c r="AH376" i="1"/>
  <c r="AG376" i="1"/>
  <c r="AF376" i="1"/>
  <c r="AD376" i="1"/>
  <c r="AB376" i="1"/>
  <c r="X376" i="1"/>
  <c r="R376" i="1"/>
  <c r="Q376" i="1"/>
  <c r="O376" i="1"/>
  <c r="P376" i="1" s="1"/>
  <c r="L376" i="1"/>
  <c r="K376" i="1"/>
  <c r="I376" i="1"/>
  <c r="E376" i="1"/>
  <c r="AL375" i="1"/>
  <c r="AK375" i="1"/>
  <c r="AQ375" i="1" s="1"/>
  <c r="AJ375" i="1"/>
  <c r="AH375" i="1"/>
  <c r="AG375" i="1"/>
  <c r="AI375" i="1" s="1"/>
  <c r="AF375" i="1"/>
  <c r="AB375" i="1"/>
  <c r="X375" i="1"/>
  <c r="AD375" i="1" s="1"/>
  <c r="S375" i="1"/>
  <c r="R375" i="1"/>
  <c r="Q375" i="1"/>
  <c r="O375" i="1"/>
  <c r="P375" i="1" s="1"/>
  <c r="L375" i="1"/>
  <c r="M375" i="1" s="1"/>
  <c r="T375" i="1" s="1"/>
  <c r="K375" i="1"/>
  <c r="I375" i="1"/>
  <c r="E375" i="1"/>
  <c r="AL374" i="1"/>
  <c r="AK374" i="1"/>
  <c r="AI374" i="1"/>
  <c r="AH374" i="1"/>
  <c r="AG374" i="1"/>
  <c r="AD374" i="1"/>
  <c r="AB374" i="1"/>
  <c r="R374" i="1"/>
  <c r="P374" i="1"/>
  <c r="Q374" i="1" s="1"/>
  <c r="O374" i="1"/>
  <c r="K374" i="1"/>
  <c r="I374" i="1"/>
  <c r="E374" i="1"/>
  <c r="L374" i="1" s="1"/>
  <c r="AQ373" i="1"/>
  <c r="AL373" i="1"/>
  <c r="AK373" i="1"/>
  <c r="AG373" i="1"/>
  <c r="AB373" i="1"/>
  <c r="AD373" i="1" s="1"/>
  <c r="T373" i="1"/>
  <c r="S373" i="1"/>
  <c r="R373" i="1"/>
  <c r="P373" i="1"/>
  <c r="Q373" i="1" s="1"/>
  <c r="O373" i="1"/>
  <c r="L373" i="1"/>
  <c r="M373" i="1" s="1"/>
  <c r="K373" i="1"/>
  <c r="I373" i="1"/>
  <c r="E373" i="1"/>
  <c r="AL372" i="1"/>
  <c r="AK372" i="1"/>
  <c r="AG372" i="1"/>
  <c r="AB372" i="1"/>
  <c r="AD372" i="1" s="1"/>
  <c r="R372" i="1"/>
  <c r="P372" i="1"/>
  <c r="O372" i="1"/>
  <c r="K372" i="1"/>
  <c r="I372" i="1"/>
  <c r="E372" i="1"/>
  <c r="L372" i="1" s="1"/>
  <c r="AQ371" i="1"/>
  <c r="AL371" i="1"/>
  <c r="AK371" i="1"/>
  <c r="AG371" i="1"/>
  <c r="AB371" i="1"/>
  <c r="AD371" i="1" s="1"/>
  <c r="R371" i="1"/>
  <c r="O371" i="1"/>
  <c r="P371" i="1" s="1"/>
  <c r="M371" i="1"/>
  <c r="T371" i="1" s="1"/>
  <c r="L371" i="1"/>
  <c r="S371" i="1" s="1"/>
  <c r="K371" i="1"/>
  <c r="I371" i="1"/>
  <c r="E371" i="1"/>
  <c r="Q371" i="1" s="1"/>
  <c r="AL370" i="1"/>
  <c r="AK370" i="1"/>
  <c r="AQ370" i="1" s="1"/>
  <c r="AG370" i="1"/>
  <c r="AD370" i="1"/>
  <c r="AB370" i="1"/>
  <c r="R370" i="1"/>
  <c r="Q370" i="1"/>
  <c r="P370" i="1"/>
  <c r="O370" i="1"/>
  <c r="M370" i="1"/>
  <c r="T370" i="1" s="1"/>
  <c r="L370" i="1"/>
  <c r="S370" i="1" s="1"/>
  <c r="K370" i="1"/>
  <c r="I370" i="1"/>
  <c r="E370" i="1"/>
  <c r="AL369" i="1"/>
  <c r="AK369" i="1"/>
  <c r="AQ369" i="1" s="1"/>
  <c r="AI369" i="1"/>
  <c r="AH369" i="1"/>
  <c r="AG369" i="1"/>
  <c r="AJ369" i="1" s="1"/>
  <c r="AD369" i="1"/>
  <c r="AB369" i="1"/>
  <c r="R369" i="1"/>
  <c r="P369" i="1"/>
  <c r="O369" i="1"/>
  <c r="M369" i="1"/>
  <c r="T369" i="1" s="1"/>
  <c r="L369" i="1"/>
  <c r="S369" i="1" s="1"/>
  <c r="K369" i="1"/>
  <c r="I369" i="1"/>
  <c r="E369" i="1"/>
  <c r="Q369" i="1" s="1"/>
  <c r="AQ368" i="1"/>
  <c r="AL368" i="1"/>
  <c r="AK368" i="1"/>
  <c r="AI368" i="1"/>
  <c r="AH368" i="1"/>
  <c r="AG368" i="1"/>
  <c r="AD368" i="1"/>
  <c r="AB368" i="1"/>
  <c r="S368" i="1"/>
  <c r="R368" i="1"/>
  <c r="P368" i="1"/>
  <c r="Q368" i="1" s="1"/>
  <c r="O368" i="1"/>
  <c r="K368" i="1"/>
  <c r="I368" i="1"/>
  <c r="E368" i="1"/>
  <c r="L368" i="1" s="1"/>
  <c r="M368" i="1" s="1"/>
  <c r="T368" i="1" s="1"/>
  <c r="AN367" i="1"/>
  <c r="AM367" i="1"/>
  <c r="AL367" i="1"/>
  <c r="AK367" i="1"/>
  <c r="AQ367" i="1" s="1"/>
  <c r="AS367" i="1" s="1"/>
  <c r="AT367" i="1" s="1"/>
  <c r="AJ367" i="1"/>
  <c r="AR367" i="1" s="1"/>
  <c r="AI367" i="1"/>
  <c r="AH367" i="1"/>
  <c r="AG367" i="1"/>
  <c r="AF367" i="1"/>
  <c r="AE367" i="1"/>
  <c r="AB367" i="1"/>
  <c r="AD367" i="1" s="1"/>
  <c r="R367" i="1"/>
  <c r="P367" i="1"/>
  <c r="Q367" i="1" s="1"/>
  <c r="O367" i="1"/>
  <c r="L367" i="1"/>
  <c r="M367" i="1" s="1"/>
  <c r="T367" i="1" s="1"/>
  <c r="K367" i="1"/>
  <c r="I367" i="1"/>
  <c r="E367" i="1"/>
  <c r="AL366" i="1"/>
  <c r="AK366" i="1"/>
  <c r="AH366" i="1"/>
  <c r="AG366" i="1"/>
  <c r="AI366" i="1" s="1"/>
  <c r="AB366" i="1"/>
  <c r="AD366" i="1" s="1"/>
  <c r="R366" i="1"/>
  <c r="P366" i="1"/>
  <c r="Q366" i="1" s="1"/>
  <c r="O366" i="1"/>
  <c r="L366" i="1"/>
  <c r="K366" i="1"/>
  <c r="I366" i="1"/>
  <c r="E366" i="1"/>
  <c r="AJ366" i="1" s="1"/>
  <c r="AL365" i="1"/>
  <c r="AK365" i="1"/>
  <c r="AQ365" i="1" s="1"/>
  <c r="AI365" i="1"/>
  <c r="AH365" i="1"/>
  <c r="AD365" i="1"/>
  <c r="AB365" i="1"/>
  <c r="R365" i="1"/>
  <c r="Q365" i="1"/>
  <c r="P365" i="1"/>
  <c r="O365" i="1"/>
  <c r="M365" i="1"/>
  <c r="T365" i="1" s="1"/>
  <c r="L365" i="1"/>
  <c r="S365" i="1" s="1"/>
  <c r="K365" i="1"/>
  <c r="I365" i="1"/>
  <c r="E365" i="1"/>
  <c r="AJ365" i="1" s="1"/>
  <c r="AL364" i="1"/>
  <c r="AK364" i="1"/>
  <c r="AQ364" i="1" s="1"/>
  <c r="AI364" i="1"/>
  <c r="AH364" i="1"/>
  <c r="AG364" i="1"/>
  <c r="AJ364" i="1" s="1"/>
  <c r="AD364" i="1"/>
  <c r="AB364" i="1"/>
  <c r="R364" i="1"/>
  <c r="O364" i="1"/>
  <c r="P364" i="1" s="1"/>
  <c r="Q364" i="1" s="1"/>
  <c r="M364" i="1"/>
  <c r="T364" i="1" s="1"/>
  <c r="L364" i="1"/>
  <c r="S364" i="1" s="1"/>
  <c r="K364" i="1"/>
  <c r="I364" i="1"/>
  <c r="E364" i="1"/>
  <c r="AL363" i="1"/>
  <c r="AK363" i="1"/>
  <c r="AI363" i="1"/>
  <c r="AH363" i="1"/>
  <c r="AB363" i="1"/>
  <c r="AD363" i="1" s="1"/>
  <c r="R363" i="1"/>
  <c r="O363" i="1"/>
  <c r="P363" i="1" s="1"/>
  <c r="Q363" i="1" s="1"/>
  <c r="K363" i="1"/>
  <c r="I363" i="1"/>
  <c r="E363" i="1"/>
  <c r="AM362" i="1"/>
  <c r="AN362" i="1" s="1"/>
  <c r="AL362" i="1"/>
  <c r="AK362" i="1"/>
  <c r="AJ362" i="1"/>
  <c r="AR362" i="1" s="1"/>
  <c r="AI362" i="1"/>
  <c r="AH362" i="1"/>
  <c r="AG362" i="1"/>
  <c r="AE362" i="1"/>
  <c r="AD362" i="1"/>
  <c r="AB362" i="1"/>
  <c r="R362" i="1"/>
  <c r="O362" i="1"/>
  <c r="P362" i="1" s="1"/>
  <c r="Q362" i="1" s="1"/>
  <c r="K362" i="1"/>
  <c r="I362" i="1"/>
  <c r="E362" i="1"/>
  <c r="L362" i="1" s="1"/>
  <c r="AL361" i="1"/>
  <c r="AK361" i="1"/>
  <c r="AJ361" i="1"/>
  <c r="AI361" i="1"/>
  <c r="AG361" i="1"/>
  <c r="AH361" i="1" s="1"/>
  <c r="Y361" i="1"/>
  <c r="AB361" i="1" s="1"/>
  <c r="AD361" i="1" s="1"/>
  <c r="X361" i="1"/>
  <c r="R361" i="1"/>
  <c r="Q361" i="1"/>
  <c r="P361" i="1"/>
  <c r="O361" i="1"/>
  <c r="M361" i="1"/>
  <c r="T361" i="1" s="1"/>
  <c r="L361" i="1"/>
  <c r="AQ361" i="1" s="1"/>
  <c r="K361" i="1"/>
  <c r="I361" i="1"/>
  <c r="E361" i="1"/>
  <c r="AL360" i="1"/>
  <c r="AK360" i="1"/>
  <c r="AI360" i="1"/>
  <c r="AH360" i="1"/>
  <c r="AG360" i="1"/>
  <c r="AB360" i="1"/>
  <c r="Y360" i="1"/>
  <c r="X360" i="1"/>
  <c r="AD360" i="1" s="1"/>
  <c r="R360" i="1"/>
  <c r="P360" i="1"/>
  <c r="Q360" i="1" s="1"/>
  <c r="O360" i="1"/>
  <c r="L360" i="1"/>
  <c r="K360" i="1"/>
  <c r="I360" i="1"/>
  <c r="E360" i="1"/>
  <c r="AJ360" i="1" s="1"/>
  <c r="AL359" i="1"/>
  <c r="AK359" i="1"/>
  <c r="AQ359" i="1" s="1"/>
  <c r="AH359" i="1"/>
  <c r="AG359" i="1"/>
  <c r="AJ359" i="1" s="1"/>
  <c r="AB359" i="1"/>
  <c r="AD359" i="1" s="1"/>
  <c r="Y359" i="1"/>
  <c r="X359" i="1"/>
  <c r="T359" i="1"/>
  <c r="S359" i="1"/>
  <c r="R359" i="1"/>
  <c r="O359" i="1"/>
  <c r="P359" i="1" s="1"/>
  <c r="Q359" i="1" s="1"/>
  <c r="M359" i="1"/>
  <c r="L359" i="1"/>
  <c r="K359" i="1"/>
  <c r="I359" i="1"/>
  <c r="E359" i="1"/>
  <c r="AL358" i="1"/>
  <c r="AK358" i="1"/>
  <c r="AQ358" i="1" s="1"/>
  <c r="AG358" i="1"/>
  <c r="AD358" i="1"/>
  <c r="AB358" i="1"/>
  <c r="R358" i="1"/>
  <c r="Q358" i="1"/>
  <c r="P358" i="1"/>
  <c r="O358" i="1"/>
  <c r="M358" i="1"/>
  <c r="T358" i="1" s="1"/>
  <c r="L358" i="1"/>
  <c r="S358" i="1" s="1"/>
  <c r="K358" i="1"/>
  <c r="I358" i="1"/>
  <c r="E358" i="1"/>
  <c r="AL357" i="1"/>
  <c r="AK357" i="1"/>
  <c r="AQ357" i="1" s="1"/>
  <c r="AI357" i="1"/>
  <c r="AG357" i="1"/>
  <c r="AJ357" i="1" s="1"/>
  <c r="AD357" i="1"/>
  <c r="AB357" i="1"/>
  <c r="R357" i="1"/>
  <c r="Q357" i="1"/>
  <c r="P357" i="1"/>
  <c r="O357" i="1"/>
  <c r="M357" i="1"/>
  <c r="T357" i="1" s="1"/>
  <c r="L357" i="1"/>
  <c r="S357" i="1" s="1"/>
  <c r="K357" i="1"/>
  <c r="I357" i="1"/>
  <c r="E357" i="1"/>
  <c r="AL356" i="1"/>
  <c r="AK356" i="1"/>
  <c r="AI356" i="1"/>
  <c r="AH356" i="1"/>
  <c r="AG356" i="1"/>
  <c r="AD356" i="1"/>
  <c r="AB356" i="1"/>
  <c r="R356" i="1"/>
  <c r="P356" i="1"/>
  <c r="Q356" i="1" s="1"/>
  <c r="O356" i="1"/>
  <c r="K356" i="1"/>
  <c r="I356" i="1"/>
  <c r="E356" i="1"/>
  <c r="AR355" i="1"/>
  <c r="AM355" i="1"/>
  <c r="AG355" i="1" s="1"/>
  <c r="AL355" i="1"/>
  <c r="AK355" i="1"/>
  <c r="AQ355" i="1" s="1"/>
  <c r="AS355" i="1" s="1"/>
  <c r="AT355" i="1" s="1"/>
  <c r="AF355" i="1"/>
  <c r="AE355" i="1"/>
  <c r="AB355" i="1"/>
  <c r="X355" i="1"/>
  <c r="AD355" i="1" s="1"/>
  <c r="V355" i="1"/>
  <c r="S355" i="1"/>
  <c r="P355" i="1"/>
  <c r="Q355" i="1" s="1"/>
  <c r="M355" i="1"/>
  <c r="T355" i="1" s="1"/>
  <c r="L355" i="1"/>
  <c r="K355" i="1"/>
  <c r="I355" i="1"/>
  <c r="AQ354" i="1"/>
  <c r="AL354" i="1"/>
  <c r="AM354" i="1" s="1"/>
  <c r="AK354" i="1"/>
  <c r="AF354" i="1"/>
  <c r="AE354" i="1"/>
  <c r="AB354" i="1"/>
  <c r="AD354" i="1" s="1"/>
  <c r="X354" i="1"/>
  <c r="V354" i="1"/>
  <c r="T354" i="1"/>
  <c r="S354" i="1"/>
  <c r="P354" i="1"/>
  <c r="Q354" i="1" s="1"/>
  <c r="L354" i="1"/>
  <c r="M354" i="1" s="1"/>
  <c r="K354" i="1"/>
  <c r="I354" i="1"/>
  <c r="AQ353" i="1"/>
  <c r="AL353" i="1"/>
  <c r="AM353" i="1" s="1"/>
  <c r="AK353" i="1"/>
  <c r="AF353" i="1"/>
  <c r="AE353" i="1"/>
  <c r="AB353" i="1"/>
  <c r="X353" i="1"/>
  <c r="V353" i="1"/>
  <c r="Q353" i="1"/>
  <c r="P353" i="1"/>
  <c r="L353" i="1"/>
  <c r="K353" i="1"/>
  <c r="I353" i="1"/>
  <c r="AL352" i="1"/>
  <c r="AM352" i="1" s="1"/>
  <c r="AG352" i="1" s="1"/>
  <c r="AK352" i="1"/>
  <c r="AF352" i="1"/>
  <c r="AE352" i="1"/>
  <c r="AB352" i="1"/>
  <c r="AD352" i="1" s="1"/>
  <c r="X352" i="1"/>
  <c r="V352" i="1"/>
  <c r="P352" i="1"/>
  <c r="Q352" i="1" s="1"/>
  <c r="L352" i="1"/>
  <c r="K352" i="1"/>
  <c r="I352" i="1"/>
  <c r="AR351" i="1"/>
  <c r="AQ351" i="1"/>
  <c r="AS351" i="1" s="1"/>
  <c r="AT351" i="1" s="1"/>
  <c r="AM351" i="1"/>
  <c r="AG351" i="1" s="1"/>
  <c r="AL351" i="1"/>
  <c r="AK351" i="1"/>
  <c r="AI351" i="1"/>
  <c r="AH351" i="1"/>
  <c r="AF351" i="1"/>
  <c r="AE351" i="1"/>
  <c r="AD351" i="1"/>
  <c r="AB351" i="1"/>
  <c r="X351" i="1"/>
  <c r="V351" i="1"/>
  <c r="Q351" i="1"/>
  <c r="P351" i="1"/>
  <c r="M351" i="1"/>
  <c r="T351" i="1" s="1"/>
  <c r="L351" i="1"/>
  <c r="S351" i="1" s="1"/>
  <c r="K351" i="1"/>
  <c r="I351" i="1"/>
  <c r="AR350" i="1"/>
  <c r="AQ350" i="1"/>
  <c r="AS350" i="1" s="1"/>
  <c r="AM350" i="1"/>
  <c r="AL350" i="1"/>
  <c r="AK350" i="1"/>
  <c r="AF350" i="1"/>
  <c r="AE350" i="1"/>
  <c r="AD350" i="1"/>
  <c r="AA350" i="1"/>
  <c r="X350" i="1"/>
  <c r="T350" i="1"/>
  <c r="S350" i="1"/>
  <c r="Q350" i="1"/>
  <c r="P350" i="1"/>
  <c r="M350" i="1"/>
  <c r="K350" i="1"/>
  <c r="I350" i="1"/>
  <c r="F350" i="1"/>
  <c r="AR349" i="1"/>
  <c r="AL349" i="1"/>
  <c r="AM349" i="1" s="1"/>
  <c r="AG349" i="1" s="1"/>
  <c r="AH349" i="1" s="1"/>
  <c r="AK349" i="1"/>
  <c r="AQ349" i="1" s="1"/>
  <c r="AS349" i="1" s="1"/>
  <c r="AT349" i="1" s="1"/>
  <c r="AI349" i="1"/>
  <c r="AF349" i="1"/>
  <c r="AE349" i="1"/>
  <c r="AA349" i="1"/>
  <c r="X349" i="1"/>
  <c r="AD349" i="1" s="1"/>
  <c r="S349" i="1"/>
  <c r="P349" i="1"/>
  <c r="Q349" i="1" s="1"/>
  <c r="M349" i="1"/>
  <c r="T349" i="1" s="1"/>
  <c r="K349" i="1"/>
  <c r="I349" i="1"/>
  <c r="F349" i="1"/>
  <c r="AR348" i="1"/>
  <c r="AQ348" i="1"/>
  <c r="AS348" i="1" s="1"/>
  <c r="AT348" i="1" s="1"/>
  <c r="AN348" i="1"/>
  <c r="AL348" i="1"/>
  <c r="AM348" i="1" s="1"/>
  <c r="AG348" i="1" s="1"/>
  <c r="AK348" i="1"/>
  <c r="AF348" i="1"/>
  <c r="AE348" i="1"/>
  <c r="AD348" i="1"/>
  <c r="AA348" i="1"/>
  <c r="X348" i="1"/>
  <c r="S348" i="1"/>
  <c r="Q348" i="1"/>
  <c r="P348" i="1"/>
  <c r="M348" i="1"/>
  <c r="T348" i="1" s="1"/>
  <c r="K348" i="1"/>
  <c r="I348" i="1"/>
  <c r="F348" i="1"/>
  <c r="AS347" i="1"/>
  <c r="AT347" i="1" s="1"/>
  <c r="AR347" i="1"/>
  <c r="AK347" i="1"/>
  <c r="AQ347" i="1" s="1"/>
  <c r="AF347" i="1"/>
  <c r="AE347" i="1"/>
  <c r="AA347" i="1"/>
  <c r="X347" i="1"/>
  <c r="AD347" i="1" s="1"/>
  <c r="S347" i="1"/>
  <c r="Q347" i="1"/>
  <c r="P347" i="1"/>
  <c r="M347" i="1"/>
  <c r="T347" i="1" s="1"/>
  <c r="K347" i="1"/>
  <c r="I347" i="1"/>
  <c r="F347" i="1"/>
  <c r="AL347" i="1" s="1"/>
  <c r="AM347" i="1" s="1"/>
  <c r="AN347" i="1" s="1"/>
  <c r="AR346" i="1"/>
  <c r="AQ346" i="1"/>
  <c r="AS346" i="1" s="1"/>
  <c r="AT346" i="1" s="1"/>
  <c r="AM346" i="1"/>
  <c r="AL346" i="1"/>
  <c r="AK346" i="1"/>
  <c r="AF346" i="1"/>
  <c r="AE346" i="1"/>
  <c r="AD346" i="1"/>
  <c r="AA346" i="1"/>
  <c r="X346" i="1"/>
  <c r="T346" i="1"/>
  <c r="S346" i="1"/>
  <c r="Q346" i="1"/>
  <c r="P346" i="1"/>
  <c r="M346" i="1"/>
  <c r="K346" i="1"/>
  <c r="I346" i="1"/>
  <c r="F346" i="1"/>
  <c r="AR345" i="1"/>
  <c r="AL345" i="1"/>
  <c r="AM345" i="1" s="1"/>
  <c r="AK345" i="1"/>
  <c r="AQ345" i="1" s="1"/>
  <c r="AS345" i="1" s="1"/>
  <c r="AF345" i="1"/>
  <c r="AE345" i="1"/>
  <c r="AA345" i="1"/>
  <c r="X345" i="1"/>
  <c r="AD345" i="1" s="1"/>
  <c r="T345" i="1"/>
  <c r="S345" i="1"/>
  <c r="P345" i="1"/>
  <c r="Q345" i="1" s="1"/>
  <c r="M345" i="1"/>
  <c r="K345" i="1"/>
  <c r="I345" i="1"/>
  <c r="F345" i="1"/>
  <c r="AR344" i="1"/>
  <c r="AQ344" i="1"/>
  <c r="AS344" i="1" s="1"/>
  <c r="AT344" i="1" s="1"/>
  <c r="AM344" i="1"/>
  <c r="AN344" i="1" s="1"/>
  <c r="AL344" i="1"/>
  <c r="AK344" i="1"/>
  <c r="AF344" i="1"/>
  <c r="AE344" i="1"/>
  <c r="AD344" i="1"/>
  <c r="AA344" i="1"/>
  <c r="X344" i="1"/>
  <c r="S344" i="1"/>
  <c r="Q344" i="1"/>
  <c r="P344" i="1"/>
  <c r="M344" i="1"/>
  <c r="T344" i="1" s="1"/>
  <c r="K344" i="1"/>
  <c r="I344" i="1"/>
  <c r="F344" i="1"/>
  <c r="AR343" i="1"/>
  <c r="AN343" i="1"/>
  <c r="AK343" i="1"/>
  <c r="AQ343" i="1" s="1"/>
  <c r="AS343" i="1" s="1"/>
  <c r="AT343" i="1" s="1"/>
  <c r="AF343" i="1"/>
  <c r="AE343" i="1"/>
  <c r="AA343" i="1"/>
  <c r="X343" i="1"/>
  <c r="AD343" i="1" s="1"/>
  <c r="T343" i="1"/>
  <c r="S343" i="1"/>
  <c r="P343" i="1"/>
  <c r="Q343" i="1" s="1"/>
  <c r="M343" i="1"/>
  <c r="K343" i="1"/>
  <c r="I343" i="1"/>
  <c r="F343" i="1"/>
  <c r="AL343" i="1" s="1"/>
  <c r="AM343" i="1" s="1"/>
  <c r="AG343" i="1" s="1"/>
  <c r="AR342" i="1"/>
  <c r="AQ342" i="1"/>
  <c r="AL342" i="1"/>
  <c r="AM342" i="1" s="1"/>
  <c r="AK342" i="1"/>
  <c r="AF342" i="1"/>
  <c r="AE342" i="1"/>
  <c r="AD342" i="1"/>
  <c r="AA342" i="1"/>
  <c r="X342" i="1"/>
  <c r="T342" i="1"/>
  <c r="S342" i="1"/>
  <c r="Q342" i="1"/>
  <c r="P342" i="1"/>
  <c r="M342" i="1"/>
  <c r="K342" i="1"/>
  <c r="I342" i="1"/>
  <c r="F342" i="1"/>
  <c r="AR341" i="1"/>
  <c r="AK341" i="1"/>
  <c r="AF341" i="1"/>
  <c r="AE341" i="1"/>
  <c r="AA341" i="1"/>
  <c r="X341" i="1"/>
  <c r="AD341" i="1" s="1"/>
  <c r="S341" i="1"/>
  <c r="P341" i="1"/>
  <c r="Q341" i="1" s="1"/>
  <c r="M341" i="1"/>
  <c r="T341" i="1" s="1"/>
  <c r="K341" i="1"/>
  <c r="I341" i="1"/>
  <c r="F341" i="1"/>
  <c r="AL341" i="1" s="1"/>
  <c r="AM341" i="1" s="1"/>
  <c r="AR340" i="1"/>
  <c r="AQ340" i="1"/>
  <c r="AS340" i="1" s="1"/>
  <c r="AL340" i="1"/>
  <c r="AM340" i="1" s="1"/>
  <c r="AK340" i="1"/>
  <c r="AF340" i="1"/>
  <c r="AE340" i="1"/>
  <c r="AD340" i="1"/>
  <c r="AA340" i="1"/>
  <c r="X340" i="1"/>
  <c r="S340" i="1"/>
  <c r="Q340" i="1"/>
  <c r="P340" i="1"/>
  <c r="M340" i="1"/>
  <c r="T340" i="1" s="1"/>
  <c r="K340" i="1"/>
  <c r="I340" i="1"/>
  <c r="F340" i="1"/>
  <c r="AS339" i="1"/>
  <c r="AT339" i="1" s="1"/>
  <c r="AR339" i="1"/>
  <c r="AK339" i="1"/>
  <c r="AQ339" i="1" s="1"/>
  <c r="AF339" i="1"/>
  <c r="AE339" i="1"/>
  <c r="AA339" i="1"/>
  <c r="X339" i="1"/>
  <c r="AD339" i="1" s="1"/>
  <c r="S339" i="1"/>
  <c r="Q339" i="1"/>
  <c r="P339" i="1"/>
  <c r="M339" i="1"/>
  <c r="T339" i="1" s="1"/>
  <c r="K339" i="1"/>
  <c r="I339" i="1"/>
  <c r="F339" i="1"/>
  <c r="AL339" i="1" s="1"/>
  <c r="AM339" i="1" s="1"/>
  <c r="AN339" i="1" s="1"/>
  <c r="AR338" i="1"/>
  <c r="AQ338" i="1"/>
  <c r="AS338" i="1" s="1"/>
  <c r="AM338" i="1"/>
  <c r="AL338" i="1"/>
  <c r="AK338" i="1"/>
  <c r="AF338" i="1"/>
  <c r="AE338" i="1"/>
  <c r="AD338" i="1"/>
  <c r="AA338" i="1"/>
  <c r="X338" i="1"/>
  <c r="T338" i="1"/>
  <c r="S338" i="1"/>
  <c r="Q338" i="1"/>
  <c r="P338" i="1"/>
  <c r="M338" i="1"/>
  <c r="K338" i="1"/>
  <c r="I338" i="1"/>
  <c r="F338" i="1"/>
  <c r="AR337" i="1"/>
  <c r="AL337" i="1"/>
  <c r="AM337" i="1" s="1"/>
  <c r="AK337" i="1"/>
  <c r="AQ337" i="1" s="1"/>
  <c r="AS337" i="1" s="1"/>
  <c r="AT337" i="1" s="1"/>
  <c r="AF337" i="1"/>
  <c r="AE337" i="1"/>
  <c r="AA337" i="1"/>
  <c r="X337" i="1"/>
  <c r="AD337" i="1" s="1"/>
  <c r="T337" i="1"/>
  <c r="S337" i="1"/>
  <c r="P337" i="1"/>
  <c r="Q337" i="1" s="1"/>
  <c r="M337" i="1"/>
  <c r="K337" i="1"/>
  <c r="I337" i="1"/>
  <c r="F337" i="1"/>
  <c r="AR336" i="1"/>
  <c r="AQ336" i="1"/>
  <c r="AS336" i="1" s="1"/>
  <c r="AK336" i="1"/>
  <c r="AF336" i="1"/>
  <c r="AE336" i="1"/>
  <c r="AA336" i="1"/>
  <c r="X336" i="1"/>
  <c r="AD336" i="1" s="1"/>
  <c r="S336" i="1"/>
  <c r="Q336" i="1"/>
  <c r="P336" i="1"/>
  <c r="M336" i="1"/>
  <c r="T336" i="1" s="1"/>
  <c r="K336" i="1"/>
  <c r="I336" i="1"/>
  <c r="F336" i="1"/>
  <c r="AL336" i="1" s="1"/>
  <c r="AM336" i="1" s="1"/>
  <c r="AR335" i="1"/>
  <c r="AK335" i="1"/>
  <c r="AF335" i="1"/>
  <c r="AE335" i="1"/>
  <c r="AA335" i="1"/>
  <c r="X335" i="1"/>
  <c r="AD335" i="1" s="1"/>
  <c r="S335" i="1"/>
  <c r="P335" i="1"/>
  <c r="Q335" i="1" s="1"/>
  <c r="M335" i="1"/>
  <c r="T335" i="1" s="1"/>
  <c r="K335" i="1"/>
  <c r="I335" i="1"/>
  <c r="F335" i="1"/>
  <c r="AL335" i="1" s="1"/>
  <c r="AM335" i="1" s="1"/>
  <c r="AG335" i="1" s="1"/>
  <c r="AR334" i="1"/>
  <c r="AQ334" i="1"/>
  <c r="AL334" i="1"/>
  <c r="AM334" i="1" s="1"/>
  <c r="AK334" i="1"/>
  <c r="AF334" i="1"/>
  <c r="AE334" i="1"/>
  <c r="AD334" i="1"/>
  <c r="AA334" i="1"/>
  <c r="X334" i="1"/>
  <c r="T334" i="1"/>
  <c r="S334" i="1"/>
  <c r="P334" i="1"/>
  <c r="Q334" i="1" s="1"/>
  <c r="M334" i="1"/>
  <c r="K334" i="1"/>
  <c r="I334" i="1"/>
  <c r="F334" i="1"/>
  <c r="AR333" i="1"/>
  <c r="AL333" i="1"/>
  <c r="AM333" i="1" s="1"/>
  <c r="AK333" i="1"/>
  <c r="AQ333" i="1" s="1"/>
  <c r="AS333" i="1" s="1"/>
  <c r="AF333" i="1"/>
  <c r="AE333" i="1"/>
  <c r="AA333" i="1"/>
  <c r="X333" i="1"/>
  <c r="AD333" i="1" s="1"/>
  <c r="T333" i="1"/>
  <c r="S333" i="1"/>
  <c r="P333" i="1"/>
  <c r="Q333" i="1" s="1"/>
  <c r="M333" i="1"/>
  <c r="K333" i="1"/>
  <c r="I333" i="1"/>
  <c r="F333" i="1"/>
  <c r="AR332" i="1"/>
  <c r="AL332" i="1"/>
  <c r="AM332" i="1" s="1"/>
  <c r="AK332" i="1"/>
  <c r="AQ332" i="1" s="1"/>
  <c r="AS332" i="1" s="1"/>
  <c r="AT332" i="1" s="1"/>
  <c r="AF332" i="1"/>
  <c r="AE332" i="1"/>
  <c r="AA332" i="1"/>
  <c r="X332" i="1"/>
  <c r="AD332" i="1" s="1"/>
  <c r="S332" i="1"/>
  <c r="Q332" i="1"/>
  <c r="P332" i="1"/>
  <c r="M332" i="1"/>
  <c r="T332" i="1" s="1"/>
  <c r="K332" i="1"/>
  <c r="I332" i="1"/>
  <c r="F332" i="1"/>
  <c r="AR331" i="1"/>
  <c r="AK331" i="1"/>
  <c r="AF331" i="1"/>
  <c r="AE331" i="1"/>
  <c r="AD331" i="1"/>
  <c r="AA331" i="1"/>
  <c r="X331" i="1"/>
  <c r="S331" i="1"/>
  <c r="Q331" i="1"/>
  <c r="P331" i="1"/>
  <c r="M331" i="1"/>
  <c r="T331" i="1" s="1"/>
  <c r="K331" i="1"/>
  <c r="I331" i="1"/>
  <c r="F331" i="1"/>
  <c r="AL331" i="1" s="1"/>
  <c r="AM331" i="1" s="1"/>
  <c r="AR330" i="1"/>
  <c r="AQ330" i="1"/>
  <c r="AS330" i="1" s="1"/>
  <c r="AT330" i="1" s="1"/>
  <c r="AM330" i="1"/>
  <c r="AL330" i="1"/>
  <c r="AK330" i="1"/>
  <c r="AJ330" i="1"/>
  <c r="AE330" i="1" s="1"/>
  <c r="AD330" i="1"/>
  <c r="AB330" i="1"/>
  <c r="X330" i="1"/>
  <c r="T330" i="1"/>
  <c r="S330" i="1"/>
  <c r="P330" i="1"/>
  <c r="Q330" i="1" s="1"/>
  <c r="M330" i="1"/>
  <c r="AL329" i="1"/>
  <c r="AM329" i="1" s="1"/>
  <c r="AG329" i="1" s="1"/>
  <c r="AH329" i="1" s="1"/>
  <c r="AK329" i="1"/>
  <c r="AQ329" i="1" s="1"/>
  <c r="AJ329" i="1"/>
  <c r="AR329" i="1" s="1"/>
  <c r="AS329" i="1" s="1"/>
  <c r="AT329" i="1" s="1"/>
  <c r="AI329" i="1"/>
  <c r="AE329" i="1"/>
  <c r="AB329" i="1"/>
  <c r="AD329" i="1" s="1"/>
  <c r="X329" i="1"/>
  <c r="S329" i="1"/>
  <c r="Q329" i="1"/>
  <c r="P329" i="1"/>
  <c r="M329" i="1"/>
  <c r="T329" i="1" s="1"/>
  <c r="AR328" i="1"/>
  <c r="AS328" i="1" s="1"/>
  <c r="AT328" i="1" s="1"/>
  <c r="AO328" i="1"/>
  <c r="AN328" i="1"/>
  <c r="AP328" i="1" s="1"/>
  <c r="AL328" i="1"/>
  <c r="AK328" i="1"/>
  <c r="AQ328" i="1" s="1"/>
  <c r="AJ328" i="1"/>
  <c r="AM328" i="1" s="1"/>
  <c r="AG328" i="1" s="1"/>
  <c r="AE328" i="1"/>
  <c r="AD328" i="1"/>
  <c r="AB328" i="1"/>
  <c r="S328" i="1"/>
  <c r="P328" i="1"/>
  <c r="Q328" i="1" s="1"/>
  <c r="M328" i="1"/>
  <c r="T328" i="1" s="1"/>
  <c r="AL327" i="1"/>
  <c r="AK327" i="1"/>
  <c r="AQ327" i="1" s="1"/>
  <c r="AJ327" i="1"/>
  <c r="AB327" i="1"/>
  <c r="AD327" i="1" s="1"/>
  <c r="T327" i="1"/>
  <c r="S327" i="1"/>
  <c r="P327" i="1"/>
  <c r="Q327" i="1" s="1"/>
  <c r="M327" i="1"/>
  <c r="AR326" i="1"/>
  <c r="AQ326" i="1"/>
  <c r="AS326" i="1" s="1"/>
  <c r="AT326" i="1" s="1"/>
  <c r="AN326" i="1"/>
  <c r="AL326" i="1"/>
  <c r="AK326" i="1"/>
  <c r="AJ326" i="1"/>
  <c r="AM326" i="1" s="1"/>
  <c r="AG326" i="1" s="1"/>
  <c r="AI326" i="1" s="1"/>
  <c r="AH326" i="1"/>
  <c r="AE326" i="1"/>
  <c r="AB326" i="1"/>
  <c r="AD326" i="1" s="1"/>
  <c r="S326" i="1"/>
  <c r="P326" i="1"/>
  <c r="Q326" i="1" s="1"/>
  <c r="M326" i="1"/>
  <c r="T326" i="1" s="1"/>
  <c r="AL325" i="1"/>
  <c r="AK325" i="1"/>
  <c r="AQ325" i="1" s="1"/>
  <c r="AJ325" i="1"/>
  <c r="AE325" i="1" s="1"/>
  <c r="AD325" i="1"/>
  <c r="AB325" i="1"/>
  <c r="T325" i="1"/>
  <c r="S325" i="1"/>
  <c r="P325" i="1"/>
  <c r="Q325" i="1" s="1"/>
  <c r="M325" i="1"/>
  <c r="AQ324" i="1"/>
  <c r="AL324" i="1"/>
  <c r="AK324" i="1"/>
  <c r="AJ324" i="1"/>
  <c r="AM324" i="1" s="1"/>
  <c r="AE324" i="1"/>
  <c r="AB324" i="1"/>
  <c r="AD324" i="1" s="1"/>
  <c r="T324" i="1"/>
  <c r="S324" i="1"/>
  <c r="P324" i="1"/>
  <c r="Q324" i="1" s="1"/>
  <c r="M324" i="1"/>
  <c r="AQ323" i="1"/>
  <c r="AO323" i="1"/>
  <c r="AN323" i="1"/>
  <c r="AP323" i="1" s="1"/>
  <c r="AL323" i="1"/>
  <c r="AK323" i="1"/>
  <c r="AJ323" i="1"/>
  <c r="AM323" i="1" s="1"/>
  <c r="AG323" i="1"/>
  <c r="AH323" i="1" s="1"/>
  <c r="AE323" i="1"/>
  <c r="AB323" i="1"/>
  <c r="AD323" i="1" s="1"/>
  <c r="S323" i="1"/>
  <c r="Q323" i="1"/>
  <c r="P323" i="1"/>
  <c r="M323" i="1"/>
  <c r="T323" i="1" s="1"/>
  <c r="AQ322" i="1"/>
  <c r="AS322" i="1" s="1"/>
  <c r="AT322" i="1" s="1"/>
  <c r="AM322" i="1"/>
  <c r="AN322" i="1" s="1"/>
  <c r="AP322" i="1" s="1"/>
  <c r="AL322" i="1"/>
  <c r="AK322" i="1"/>
  <c r="AJ322" i="1"/>
  <c r="AR322" i="1" s="1"/>
  <c r="AB322" i="1"/>
  <c r="AD322" i="1" s="1"/>
  <c r="X322" i="1"/>
  <c r="T322" i="1"/>
  <c r="S322" i="1"/>
  <c r="P322" i="1"/>
  <c r="Q322" i="1" s="1"/>
  <c r="M322" i="1"/>
  <c r="AN321" i="1"/>
  <c r="AL321" i="1"/>
  <c r="AM321" i="1" s="1"/>
  <c r="AG321" i="1" s="1"/>
  <c r="AK321" i="1"/>
  <c r="AQ321" i="1" s="1"/>
  <c r="AS321" i="1" s="1"/>
  <c r="AT321" i="1" s="1"/>
  <c r="AJ321" i="1"/>
  <c r="AR321" i="1" s="1"/>
  <c r="AE321" i="1"/>
  <c r="AB321" i="1"/>
  <c r="AD321" i="1" s="1"/>
  <c r="X321" i="1"/>
  <c r="S321" i="1"/>
  <c r="P321" i="1"/>
  <c r="Q321" i="1" s="1"/>
  <c r="M321" i="1"/>
  <c r="T321" i="1" s="1"/>
  <c r="AS320" i="1"/>
  <c r="AR320" i="1"/>
  <c r="AM320" i="1"/>
  <c r="AL320" i="1"/>
  <c r="AK320" i="1"/>
  <c r="AQ320" i="1" s="1"/>
  <c r="AJ320" i="1"/>
  <c r="AE320" i="1" s="1"/>
  <c r="AB320" i="1"/>
  <c r="X320" i="1"/>
  <c r="AD320" i="1" s="1"/>
  <c r="T320" i="1"/>
  <c r="S320" i="1"/>
  <c r="Q320" i="1"/>
  <c r="P320" i="1"/>
  <c r="M320" i="1"/>
  <c r="AR319" i="1"/>
  <c r="AQ319" i="1"/>
  <c r="AS319" i="1" s="1"/>
  <c r="AT319" i="1" s="1"/>
  <c r="AL319" i="1"/>
  <c r="AM319" i="1" s="1"/>
  <c r="AK319" i="1"/>
  <c r="AF319" i="1"/>
  <c r="AE319" i="1"/>
  <c r="AB319" i="1"/>
  <c r="AD319" i="1" s="1"/>
  <c r="X319" i="1"/>
  <c r="T319" i="1"/>
  <c r="S319" i="1"/>
  <c r="P319" i="1"/>
  <c r="Q319" i="1" s="1"/>
  <c r="M319" i="1"/>
  <c r="AR318" i="1"/>
  <c r="AP318" i="1"/>
  <c r="AL318" i="1"/>
  <c r="AM318" i="1" s="1"/>
  <c r="AN318" i="1" s="1"/>
  <c r="AO318" i="1" s="1"/>
  <c r="AK318" i="1"/>
  <c r="AQ318" i="1" s="1"/>
  <c r="AS318" i="1" s="1"/>
  <c r="AT318" i="1" s="1"/>
  <c r="AF318" i="1"/>
  <c r="AE318" i="1"/>
  <c r="AB318" i="1"/>
  <c r="X318" i="1"/>
  <c r="S318" i="1"/>
  <c r="Q318" i="1"/>
  <c r="P318" i="1"/>
  <c r="M318" i="1"/>
  <c r="T318" i="1" s="1"/>
  <c r="AR317" i="1"/>
  <c r="AM317" i="1"/>
  <c r="AN317" i="1" s="1"/>
  <c r="AP317" i="1" s="1"/>
  <c r="AL317" i="1"/>
  <c r="AK317" i="1"/>
  <c r="AQ317" i="1" s="1"/>
  <c r="AS317" i="1" s="1"/>
  <c r="AT317" i="1" s="1"/>
  <c r="AI317" i="1"/>
  <c r="AG317" i="1"/>
  <c r="AH317" i="1" s="1"/>
  <c r="AF317" i="1"/>
  <c r="AE317" i="1"/>
  <c r="AB317" i="1"/>
  <c r="X317" i="1"/>
  <c r="AD317" i="1" s="1"/>
  <c r="T317" i="1"/>
  <c r="S317" i="1"/>
  <c r="Q317" i="1"/>
  <c r="P317" i="1"/>
  <c r="M317" i="1"/>
  <c r="AR316" i="1"/>
  <c r="AQ316" i="1"/>
  <c r="AS316" i="1" s="1"/>
  <c r="AL316" i="1"/>
  <c r="AM316" i="1" s="1"/>
  <c r="AK316" i="1"/>
  <c r="AF316" i="1"/>
  <c r="AE316" i="1"/>
  <c r="AB316" i="1"/>
  <c r="AD316" i="1" s="1"/>
  <c r="X316" i="1"/>
  <c r="S316" i="1"/>
  <c r="P316" i="1"/>
  <c r="Q316" i="1" s="1"/>
  <c r="M316" i="1"/>
  <c r="T316" i="1" s="1"/>
  <c r="AR315" i="1"/>
  <c r="AQ315" i="1"/>
  <c r="AS315" i="1" s="1"/>
  <c r="AM315" i="1"/>
  <c r="AG315" i="1" s="1"/>
  <c r="AL315" i="1"/>
  <c r="AK315" i="1"/>
  <c r="AF315" i="1"/>
  <c r="AE315" i="1"/>
  <c r="AD315" i="1"/>
  <c r="AB315" i="1"/>
  <c r="X315" i="1"/>
  <c r="S315" i="1"/>
  <c r="Q315" i="1"/>
  <c r="P315" i="1"/>
  <c r="M315" i="1"/>
  <c r="T315" i="1" s="1"/>
  <c r="AR314" i="1"/>
  <c r="AQ314" i="1"/>
  <c r="AS314" i="1" s="1"/>
  <c r="AT314" i="1" s="1"/>
  <c r="AL314" i="1"/>
  <c r="AM314" i="1" s="1"/>
  <c r="AK314" i="1"/>
  <c r="AF314" i="1"/>
  <c r="AE314" i="1"/>
  <c r="AD314" i="1"/>
  <c r="AB314" i="1"/>
  <c r="X314" i="1"/>
  <c r="T314" i="1"/>
  <c r="S314" i="1"/>
  <c r="P314" i="1"/>
  <c r="Q314" i="1" s="1"/>
  <c r="M314" i="1"/>
  <c r="AR313" i="1"/>
  <c r="AN313" i="1"/>
  <c r="AL313" i="1"/>
  <c r="AM313" i="1" s="1"/>
  <c r="AG313" i="1" s="1"/>
  <c r="AK313" i="1"/>
  <c r="AQ313" i="1" s="1"/>
  <c r="AS313" i="1" s="1"/>
  <c r="AT313" i="1" s="1"/>
  <c r="AF313" i="1"/>
  <c r="AE313" i="1"/>
  <c r="AB313" i="1"/>
  <c r="X313" i="1"/>
  <c r="S313" i="1"/>
  <c r="P313" i="1"/>
  <c r="Q313" i="1" s="1"/>
  <c r="M313" i="1"/>
  <c r="T313" i="1" s="1"/>
  <c r="AS312" i="1"/>
  <c r="AT312" i="1" s="1"/>
  <c r="AR312" i="1"/>
  <c r="AM312" i="1"/>
  <c r="AL312" i="1"/>
  <c r="AK312" i="1"/>
  <c r="AQ312" i="1" s="1"/>
  <c r="AF312" i="1"/>
  <c r="AE312" i="1"/>
  <c r="AD312" i="1"/>
  <c r="AB312" i="1"/>
  <c r="X312" i="1"/>
  <c r="T312" i="1"/>
  <c r="S312" i="1"/>
  <c r="Q312" i="1"/>
  <c r="P312" i="1"/>
  <c r="M312" i="1"/>
  <c r="AR311" i="1"/>
  <c r="AQ311" i="1"/>
  <c r="AL311" i="1"/>
  <c r="AM311" i="1" s="1"/>
  <c r="AK311" i="1"/>
  <c r="AF311" i="1"/>
  <c r="AE311" i="1"/>
  <c r="AB311" i="1"/>
  <c r="AD311" i="1" s="1"/>
  <c r="X311" i="1"/>
  <c r="T311" i="1"/>
  <c r="S311" i="1"/>
  <c r="P311" i="1"/>
  <c r="Q311" i="1" s="1"/>
  <c r="M311" i="1"/>
  <c r="AR310" i="1"/>
  <c r="AL310" i="1"/>
  <c r="AM310" i="1" s="1"/>
  <c r="AN310" i="1" s="1"/>
  <c r="AO310" i="1" s="1"/>
  <c r="AK310" i="1"/>
  <c r="AQ310" i="1" s="1"/>
  <c r="AS310" i="1" s="1"/>
  <c r="AT310" i="1" s="1"/>
  <c r="AF310" i="1"/>
  <c r="AE310" i="1"/>
  <c r="AB310" i="1"/>
  <c r="AD310" i="1" s="1"/>
  <c r="X310" i="1"/>
  <c r="S310" i="1"/>
  <c r="Q310" i="1"/>
  <c r="P310" i="1"/>
  <c r="M310" i="1"/>
  <c r="T310" i="1" s="1"/>
  <c r="AR309" i="1"/>
  <c r="AM309" i="1"/>
  <c r="AN309" i="1" s="1"/>
  <c r="AP309" i="1" s="1"/>
  <c r="AL309" i="1"/>
  <c r="AK309" i="1"/>
  <c r="AQ309" i="1" s="1"/>
  <c r="AS309" i="1" s="1"/>
  <c r="AT309" i="1" s="1"/>
  <c r="AI309" i="1"/>
  <c r="AG309" i="1"/>
  <c r="AH309" i="1" s="1"/>
  <c r="AF309" i="1"/>
  <c r="AE309" i="1"/>
  <c r="AB309" i="1"/>
  <c r="X309" i="1"/>
  <c r="AD309" i="1" s="1"/>
  <c r="T309" i="1"/>
  <c r="S309" i="1"/>
  <c r="Q309" i="1"/>
  <c r="P309" i="1"/>
  <c r="M309" i="1"/>
  <c r="AR308" i="1"/>
  <c r="AQ308" i="1"/>
  <c r="AL308" i="1"/>
  <c r="AM308" i="1" s="1"/>
  <c r="AK308" i="1"/>
  <c r="AF308" i="1"/>
  <c r="AE308" i="1"/>
  <c r="AB308" i="1"/>
  <c r="AD308" i="1" s="1"/>
  <c r="X308" i="1"/>
  <c r="T308" i="1"/>
  <c r="S308" i="1"/>
  <c r="P308" i="1"/>
  <c r="Q308" i="1" s="1"/>
  <c r="M308" i="1"/>
  <c r="AR307" i="1"/>
  <c r="AQ307" i="1"/>
  <c r="AS307" i="1" s="1"/>
  <c r="AT307" i="1" s="1"/>
  <c r="AN307" i="1"/>
  <c r="AM307" i="1"/>
  <c r="AG307" i="1" s="1"/>
  <c r="AL307" i="1"/>
  <c r="AK307" i="1"/>
  <c r="AF307" i="1"/>
  <c r="AE307" i="1"/>
  <c r="AD307" i="1"/>
  <c r="X307" i="1"/>
  <c r="S307" i="1"/>
  <c r="Q307" i="1"/>
  <c r="M307" i="1"/>
  <c r="T307" i="1" s="1"/>
  <c r="L307" i="1"/>
  <c r="AL306" i="1"/>
  <c r="AM306" i="1" s="1"/>
  <c r="AG306" i="1" s="1"/>
  <c r="AI306" i="1" s="1"/>
  <c r="AK306" i="1"/>
  <c r="AH306" i="1"/>
  <c r="AF306" i="1"/>
  <c r="AE306" i="1"/>
  <c r="X306" i="1"/>
  <c r="AD306" i="1" s="1"/>
  <c r="Q306" i="1"/>
  <c r="L306" i="1"/>
  <c r="AR305" i="1"/>
  <c r="AQ305" i="1"/>
  <c r="AM305" i="1"/>
  <c r="AL305" i="1"/>
  <c r="AK305" i="1"/>
  <c r="AF305" i="1"/>
  <c r="AE305" i="1"/>
  <c r="AD305" i="1"/>
  <c r="X305" i="1"/>
  <c r="Q305" i="1"/>
  <c r="L305" i="1"/>
  <c r="M305" i="1" s="1"/>
  <c r="T305" i="1" s="1"/>
  <c r="AP304" i="1"/>
  <c r="AO304" i="1"/>
  <c r="AM304" i="1"/>
  <c r="AN304" i="1" s="1"/>
  <c r="AL304" i="1"/>
  <c r="AK304" i="1"/>
  <c r="AF304" i="1"/>
  <c r="AE304" i="1"/>
  <c r="AD304" i="1"/>
  <c r="X304" i="1"/>
  <c r="Q304" i="1"/>
  <c r="L304" i="1"/>
  <c r="S304" i="1" s="1"/>
  <c r="AR303" i="1"/>
  <c r="AN303" i="1"/>
  <c r="AP303" i="1" s="1"/>
  <c r="AM303" i="1"/>
  <c r="AG303" i="1" s="1"/>
  <c r="AL303" i="1"/>
  <c r="AK303" i="1"/>
  <c r="AQ303" i="1" s="1"/>
  <c r="AF303" i="1"/>
  <c r="AE303" i="1"/>
  <c r="AD303" i="1"/>
  <c r="X303" i="1"/>
  <c r="T303" i="1"/>
  <c r="S303" i="1"/>
  <c r="Q303" i="1"/>
  <c r="M303" i="1"/>
  <c r="L303" i="1"/>
  <c r="AQ302" i="1"/>
  <c r="AS302" i="1" s="1"/>
  <c r="AT302" i="1" s="1"/>
  <c r="AP302" i="1"/>
  <c r="AO302" i="1"/>
  <c r="AN302" i="1"/>
  <c r="AM302" i="1"/>
  <c r="AL302" i="1"/>
  <c r="AK302" i="1"/>
  <c r="AG302" i="1"/>
  <c r="AI302" i="1" s="1"/>
  <c r="AF302" i="1"/>
  <c r="AE302" i="1"/>
  <c r="AD302" i="1"/>
  <c r="AB302" i="1"/>
  <c r="X302" i="1"/>
  <c r="Q302" i="1"/>
  <c r="M302" i="1"/>
  <c r="T302" i="1" s="1"/>
  <c r="L302" i="1"/>
  <c r="AR302" i="1" s="1"/>
  <c r="AM301" i="1"/>
  <c r="AL301" i="1"/>
  <c r="AK301" i="1"/>
  <c r="AQ301" i="1" s="1"/>
  <c r="AF301" i="1"/>
  <c r="AE301" i="1"/>
  <c r="X301" i="1"/>
  <c r="AD301" i="1" s="1"/>
  <c r="V301" i="1"/>
  <c r="T301" i="1"/>
  <c r="R301" i="1"/>
  <c r="P301" i="1"/>
  <c r="Q301" i="1" s="1"/>
  <c r="M301" i="1"/>
  <c r="L301" i="1"/>
  <c r="S301" i="1" s="1"/>
  <c r="AM300" i="1"/>
  <c r="AN300" i="1" s="1"/>
  <c r="AL300" i="1"/>
  <c r="AK300" i="1"/>
  <c r="AQ300" i="1" s="1"/>
  <c r="AS300" i="1" s="1"/>
  <c r="AT300" i="1" s="1"/>
  <c r="AG300" i="1"/>
  <c r="AF300" i="1"/>
  <c r="AE300" i="1"/>
  <c r="X300" i="1"/>
  <c r="AD300" i="1" s="1"/>
  <c r="V300" i="1"/>
  <c r="S300" i="1"/>
  <c r="R300" i="1"/>
  <c r="Q300" i="1"/>
  <c r="P300" i="1"/>
  <c r="L300" i="1"/>
  <c r="AR300" i="1" s="1"/>
  <c r="AQ299" i="1"/>
  <c r="AL299" i="1"/>
  <c r="AM299" i="1" s="1"/>
  <c r="AK299" i="1"/>
  <c r="AF299" i="1"/>
  <c r="AE299" i="1"/>
  <c r="X299" i="1"/>
  <c r="AD299" i="1" s="1"/>
  <c r="V299" i="1"/>
  <c r="S299" i="1"/>
  <c r="R299" i="1"/>
  <c r="Q299" i="1"/>
  <c r="P299" i="1"/>
  <c r="L299" i="1"/>
  <c r="M299" i="1" s="1"/>
  <c r="T299" i="1" s="1"/>
  <c r="AR298" i="1"/>
  <c r="AQ298" i="1"/>
  <c r="AS298" i="1" s="1"/>
  <c r="AT298" i="1" s="1"/>
  <c r="AP298" i="1"/>
  <c r="AO298" i="1"/>
  <c r="AN298" i="1"/>
  <c r="AM298" i="1"/>
  <c r="AL298" i="1"/>
  <c r="AK298" i="1"/>
  <c r="AH298" i="1"/>
  <c r="AG298" i="1"/>
  <c r="AI298" i="1" s="1"/>
  <c r="AF298" i="1"/>
  <c r="AE298" i="1"/>
  <c r="AD298" i="1"/>
  <c r="X298" i="1"/>
  <c r="V298" i="1"/>
  <c r="T298" i="1"/>
  <c r="S298" i="1"/>
  <c r="R298" i="1"/>
  <c r="Q298" i="1"/>
  <c r="P298" i="1"/>
  <c r="M298" i="1"/>
  <c r="L298" i="1"/>
  <c r="AR297" i="1"/>
  <c r="AQ297" i="1"/>
  <c r="AL297" i="1"/>
  <c r="AM297" i="1" s="1"/>
  <c r="AN297" i="1" s="1"/>
  <c r="AK297" i="1"/>
  <c r="AH297" i="1"/>
  <c r="AG297" i="1"/>
  <c r="AI297" i="1" s="1"/>
  <c r="AF297" i="1"/>
  <c r="AE297" i="1"/>
  <c r="X297" i="1"/>
  <c r="AD297" i="1" s="1"/>
  <c r="V297" i="1"/>
  <c r="T297" i="1"/>
  <c r="R297" i="1"/>
  <c r="P297" i="1"/>
  <c r="Q297" i="1" s="1"/>
  <c r="L297" i="1"/>
  <c r="M297" i="1" s="1"/>
  <c r="AM296" i="1"/>
  <c r="AL296" i="1"/>
  <c r="AK296" i="1"/>
  <c r="AF296" i="1"/>
  <c r="AE296" i="1"/>
  <c r="AD296" i="1"/>
  <c r="X296" i="1"/>
  <c r="V296" i="1"/>
  <c r="R296" i="1"/>
  <c r="Q296" i="1"/>
  <c r="P296" i="1"/>
  <c r="M296" i="1"/>
  <c r="T296" i="1" s="1"/>
  <c r="L296" i="1"/>
  <c r="AR296" i="1" s="1"/>
  <c r="AR295" i="1"/>
  <c r="AN295" i="1"/>
  <c r="AO295" i="1" s="1"/>
  <c r="AM295" i="1"/>
  <c r="AL295" i="1"/>
  <c r="AK295" i="1"/>
  <c r="AQ295" i="1" s="1"/>
  <c r="AS295" i="1" s="1"/>
  <c r="AT295" i="1" s="1"/>
  <c r="AG295" i="1"/>
  <c r="AF295" i="1"/>
  <c r="AE295" i="1"/>
  <c r="AD295" i="1"/>
  <c r="X295" i="1"/>
  <c r="V295" i="1"/>
  <c r="R295" i="1"/>
  <c r="P295" i="1"/>
  <c r="Q295" i="1" s="1"/>
  <c r="M295" i="1"/>
  <c r="T295" i="1" s="1"/>
  <c r="L295" i="1"/>
  <c r="S295" i="1" s="1"/>
  <c r="AK294" i="1"/>
  <c r="AJ294" i="1"/>
  <c r="AR294" i="1" s="1"/>
  <c r="AI294" i="1"/>
  <c r="AH294" i="1"/>
  <c r="AF294" i="1"/>
  <c r="AE294" i="1"/>
  <c r="AA294" i="1"/>
  <c r="X294" i="1"/>
  <c r="AD294" i="1" s="1"/>
  <c r="S294" i="1"/>
  <c r="P294" i="1"/>
  <c r="Q294" i="1" s="1"/>
  <c r="O294" i="1"/>
  <c r="L294" i="1"/>
  <c r="M294" i="1" s="1"/>
  <c r="T294" i="1" s="1"/>
  <c r="K294" i="1"/>
  <c r="I294" i="1"/>
  <c r="G294" i="1"/>
  <c r="F294" i="1" s="1"/>
  <c r="AL294" i="1" s="1"/>
  <c r="AM294" i="1" s="1"/>
  <c r="AN294" i="1" s="1"/>
  <c r="AP294" i="1" s="1"/>
  <c r="AK293" i="1"/>
  <c r="AJ293" i="1"/>
  <c r="AI293" i="1"/>
  <c r="AH293" i="1"/>
  <c r="AE293" i="1"/>
  <c r="AD293" i="1"/>
  <c r="AA293" i="1"/>
  <c r="X293" i="1"/>
  <c r="O293" i="1"/>
  <c r="P293" i="1" s="1"/>
  <c r="Q293" i="1" s="1"/>
  <c r="L293" i="1"/>
  <c r="K293" i="1"/>
  <c r="I293" i="1"/>
  <c r="AK292" i="1"/>
  <c r="AQ292" i="1" s="1"/>
  <c r="AJ292" i="1"/>
  <c r="AF292" i="1" s="1"/>
  <c r="AI292" i="1"/>
  <c r="AH292" i="1"/>
  <c r="AA292" i="1"/>
  <c r="X292" i="1"/>
  <c r="AD292" i="1" s="1"/>
  <c r="T292" i="1"/>
  <c r="S292" i="1"/>
  <c r="O292" i="1"/>
  <c r="P292" i="1" s="1"/>
  <c r="Q292" i="1" s="1"/>
  <c r="M292" i="1"/>
  <c r="L292" i="1"/>
  <c r="K292" i="1"/>
  <c r="I292" i="1"/>
  <c r="G292" i="1"/>
  <c r="F292" i="1" s="1"/>
  <c r="AL292" i="1" s="1"/>
  <c r="AK291" i="1"/>
  <c r="AQ291" i="1" s="1"/>
  <c r="AJ291" i="1"/>
  <c r="AR291" i="1" s="1"/>
  <c r="AI291" i="1"/>
  <c r="AH291" i="1"/>
  <c r="AF291" i="1"/>
  <c r="AE291" i="1"/>
  <c r="AD291" i="1"/>
  <c r="AA291" i="1"/>
  <c r="X291" i="1"/>
  <c r="Q291" i="1"/>
  <c r="O291" i="1"/>
  <c r="P291" i="1" s="1"/>
  <c r="M291" i="1"/>
  <c r="T291" i="1" s="1"/>
  <c r="L291" i="1"/>
  <c r="S291" i="1" s="1"/>
  <c r="I291" i="1"/>
  <c r="K291" i="1" s="1"/>
  <c r="G291" i="1"/>
  <c r="F291" i="1"/>
  <c r="AL291" i="1" s="1"/>
  <c r="AM291" i="1" s="1"/>
  <c r="AN291" i="1" s="1"/>
  <c r="AK290" i="1"/>
  <c r="AJ290" i="1"/>
  <c r="AR290" i="1" s="1"/>
  <c r="AI290" i="1"/>
  <c r="AH290" i="1"/>
  <c r="AA290" i="1"/>
  <c r="X290" i="1"/>
  <c r="AD290" i="1" s="1"/>
  <c r="P290" i="1"/>
  <c r="Q290" i="1" s="1"/>
  <c r="O290" i="1"/>
  <c r="M290" i="1"/>
  <c r="T290" i="1" s="1"/>
  <c r="L290" i="1"/>
  <c r="S290" i="1" s="1"/>
  <c r="K290" i="1"/>
  <c r="I290" i="1"/>
  <c r="AK289" i="1"/>
  <c r="AJ289" i="1"/>
  <c r="AI289" i="1"/>
  <c r="AH289" i="1"/>
  <c r="AD289" i="1"/>
  <c r="AA289" i="1"/>
  <c r="X289" i="1"/>
  <c r="S289" i="1"/>
  <c r="Q289" i="1"/>
  <c r="P289" i="1"/>
  <c r="O289" i="1"/>
  <c r="L289" i="1"/>
  <c r="M289" i="1" s="1"/>
  <c r="T289" i="1" s="1"/>
  <c r="I289" i="1"/>
  <c r="K289" i="1" s="1"/>
  <c r="G289" i="1"/>
  <c r="F289" i="1"/>
  <c r="AK288" i="1"/>
  <c r="AJ288" i="1"/>
  <c r="AR288" i="1" s="1"/>
  <c r="AI288" i="1"/>
  <c r="AH288" i="1"/>
  <c r="AF288" i="1"/>
  <c r="AE288" i="1"/>
  <c r="AD288" i="1"/>
  <c r="AA288" i="1"/>
  <c r="X288" i="1"/>
  <c r="P288" i="1"/>
  <c r="Q288" i="1" s="1"/>
  <c r="O288" i="1"/>
  <c r="M288" i="1"/>
  <c r="T288" i="1" s="1"/>
  <c r="L288" i="1"/>
  <c r="S288" i="1" s="1"/>
  <c r="I288" i="1"/>
  <c r="K288" i="1" s="1"/>
  <c r="AK287" i="1"/>
  <c r="AJ287" i="1"/>
  <c r="AI287" i="1"/>
  <c r="AH287" i="1"/>
  <c r="AA287" i="1"/>
  <c r="X287" i="1"/>
  <c r="AD287" i="1" s="1"/>
  <c r="O287" i="1"/>
  <c r="P287" i="1" s="1"/>
  <c r="Q287" i="1" s="1"/>
  <c r="L287" i="1"/>
  <c r="I287" i="1"/>
  <c r="K287" i="1" s="1"/>
  <c r="AK286" i="1"/>
  <c r="AJ286" i="1"/>
  <c r="AM286" i="1" s="1"/>
  <c r="AN286" i="1" s="1"/>
  <c r="AP286" i="1" s="1"/>
  <c r="AI286" i="1"/>
  <c r="AH286" i="1"/>
  <c r="AF286" i="1"/>
  <c r="AE286" i="1"/>
  <c r="AA286" i="1"/>
  <c r="X286" i="1"/>
  <c r="AD286" i="1" s="1"/>
  <c r="S286" i="1"/>
  <c r="P286" i="1"/>
  <c r="Q286" i="1" s="1"/>
  <c r="O286" i="1"/>
  <c r="L286" i="1"/>
  <c r="M286" i="1" s="1"/>
  <c r="T286" i="1" s="1"/>
  <c r="K286" i="1"/>
  <c r="I286" i="1"/>
  <c r="G286" i="1"/>
  <c r="F286" i="1" s="1"/>
  <c r="AL286" i="1" s="1"/>
  <c r="AK285" i="1"/>
  <c r="AJ285" i="1"/>
  <c r="AI285" i="1"/>
  <c r="AH285" i="1"/>
  <c r="AE285" i="1"/>
  <c r="AD285" i="1"/>
  <c r="AA285" i="1"/>
  <c r="X285" i="1"/>
  <c r="O285" i="1"/>
  <c r="P285" i="1" s="1"/>
  <c r="Q285" i="1" s="1"/>
  <c r="L285" i="1"/>
  <c r="K285" i="1"/>
  <c r="I285" i="1"/>
  <c r="AK284" i="1"/>
  <c r="AQ284" i="1" s="1"/>
  <c r="AJ284" i="1"/>
  <c r="AF284" i="1" s="1"/>
  <c r="AI284" i="1"/>
  <c r="AH284" i="1"/>
  <c r="AA284" i="1"/>
  <c r="X284" i="1"/>
  <c r="AD284" i="1" s="1"/>
  <c r="T284" i="1"/>
  <c r="S284" i="1"/>
  <c r="O284" i="1"/>
  <c r="P284" i="1" s="1"/>
  <c r="Q284" i="1" s="1"/>
  <c r="M284" i="1"/>
  <c r="L284" i="1"/>
  <c r="K284" i="1"/>
  <c r="I284" i="1"/>
  <c r="G284" i="1"/>
  <c r="F284" i="1" s="1"/>
  <c r="AL284" i="1" s="1"/>
  <c r="AN283" i="1"/>
  <c r="AP283" i="1" s="1"/>
  <c r="AK283" i="1"/>
  <c r="AQ283" i="1" s="1"/>
  <c r="AS283" i="1" s="1"/>
  <c r="AT283" i="1" s="1"/>
  <c r="AJ283" i="1"/>
  <c r="AR283" i="1" s="1"/>
  <c r="AI283" i="1"/>
  <c r="AH283" i="1"/>
  <c r="AF283" i="1"/>
  <c r="AE283" i="1"/>
  <c r="AD283" i="1"/>
  <c r="AA283" i="1"/>
  <c r="X283" i="1"/>
  <c r="S283" i="1"/>
  <c r="P283" i="1"/>
  <c r="Q283" i="1" s="1"/>
  <c r="O283" i="1"/>
  <c r="M283" i="1"/>
  <c r="T283" i="1" s="1"/>
  <c r="L283" i="1"/>
  <c r="I283" i="1"/>
  <c r="K283" i="1" s="1"/>
  <c r="G283" i="1"/>
  <c r="F283" i="1"/>
  <c r="AL283" i="1" s="1"/>
  <c r="AM283" i="1" s="1"/>
  <c r="AR282" i="1"/>
  <c r="AK282" i="1"/>
  <c r="AJ282" i="1"/>
  <c r="AI282" i="1"/>
  <c r="AH282" i="1"/>
  <c r="AD282" i="1"/>
  <c r="AA282" i="1"/>
  <c r="X282" i="1"/>
  <c r="P282" i="1"/>
  <c r="Q282" i="1" s="1"/>
  <c r="O282" i="1"/>
  <c r="M282" i="1"/>
  <c r="T282" i="1" s="1"/>
  <c r="L282" i="1"/>
  <c r="K282" i="1"/>
  <c r="I282" i="1"/>
  <c r="AK281" i="1"/>
  <c r="AJ281" i="1"/>
  <c r="AI281" i="1"/>
  <c r="AH281" i="1"/>
  <c r="AD281" i="1"/>
  <c r="AA281" i="1"/>
  <c r="X281" i="1"/>
  <c r="T281" i="1"/>
  <c r="S281" i="1"/>
  <c r="Q281" i="1"/>
  <c r="P281" i="1"/>
  <c r="O281" i="1"/>
  <c r="L281" i="1"/>
  <c r="M281" i="1" s="1"/>
  <c r="I281" i="1"/>
  <c r="K281" i="1" s="1"/>
  <c r="G281" i="1"/>
  <c r="F281" i="1" s="1"/>
  <c r="AQ280" i="1"/>
  <c r="AS280" i="1" s="1"/>
  <c r="AK280" i="1"/>
  <c r="AJ280" i="1"/>
  <c r="AR280" i="1" s="1"/>
  <c r="AI280" i="1"/>
  <c r="AH280" i="1"/>
  <c r="AF280" i="1"/>
  <c r="AE280" i="1"/>
  <c r="AD280" i="1"/>
  <c r="AA280" i="1"/>
  <c r="X280" i="1"/>
  <c r="S280" i="1"/>
  <c r="O280" i="1"/>
  <c r="P280" i="1" s="1"/>
  <c r="Q280" i="1" s="1"/>
  <c r="M280" i="1"/>
  <c r="T280" i="1" s="1"/>
  <c r="L280" i="1"/>
  <c r="I280" i="1"/>
  <c r="K280" i="1" s="1"/>
  <c r="G280" i="1"/>
  <c r="F280" i="1" s="1"/>
  <c r="AL280" i="1" s="1"/>
  <c r="AM280" i="1" s="1"/>
  <c r="AN280" i="1" s="1"/>
  <c r="AQ279" i="1"/>
  <c r="AK279" i="1"/>
  <c r="AJ279" i="1"/>
  <c r="AR279" i="1" s="1"/>
  <c r="AI279" i="1"/>
  <c r="AH279" i="1"/>
  <c r="AA279" i="1"/>
  <c r="X279" i="1"/>
  <c r="AD279" i="1" s="1"/>
  <c r="O279" i="1"/>
  <c r="P279" i="1" s="1"/>
  <c r="Q279" i="1" s="1"/>
  <c r="L279" i="1"/>
  <c r="M279" i="1" s="1"/>
  <c r="T279" i="1" s="1"/>
  <c r="K279" i="1"/>
  <c r="I279" i="1"/>
  <c r="G279" i="1"/>
  <c r="F279" i="1" s="1"/>
  <c r="AL279" i="1" s="1"/>
  <c r="AK278" i="1"/>
  <c r="AJ278" i="1"/>
  <c r="AI278" i="1"/>
  <c r="AH278" i="1"/>
  <c r="AF278" i="1"/>
  <c r="AE278" i="1"/>
  <c r="AA278" i="1"/>
  <c r="X278" i="1"/>
  <c r="AD278" i="1" s="1"/>
  <c r="S278" i="1"/>
  <c r="P278" i="1"/>
  <c r="Q278" i="1" s="1"/>
  <c r="O278" i="1"/>
  <c r="L278" i="1"/>
  <c r="M278" i="1" s="1"/>
  <c r="T278" i="1" s="1"/>
  <c r="K278" i="1"/>
  <c r="I278" i="1"/>
  <c r="G278" i="1"/>
  <c r="F278" i="1" s="1"/>
  <c r="AL278" i="1" s="1"/>
  <c r="AK277" i="1"/>
  <c r="AJ277" i="1"/>
  <c r="AI277" i="1"/>
  <c r="AH277" i="1"/>
  <c r="AE277" i="1"/>
  <c r="AA277" i="1"/>
  <c r="X277" i="1"/>
  <c r="AD277" i="1" s="1"/>
  <c r="Q277" i="1"/>
  <c r="O277" i="1"/>
  <c r="P277" i="1" s="1"/>
  <c r="L277" i="1"/>
  <c r="K277" i="1"/>
  <c r="I277" i="1"/>
  <c r="AR276" i="1"/>
  <c r="AK276" i="1"/>
  <c r="AJ276" i="1"/>
  <c r="AI276" i="1"/>
  <c r="AH276" i="1"/>
  <c r="AD276" i="1"/>
  <c r="AA276" i="1"/>
  <c r="X276" i="1"/>
  <c r="T276" i="1"/>
  <c r="S276" i="1"/>
  <c r="Q276" i="1"/>
  <c r="O276" i="1"/>
  <c r="P276" i="1" s="1"/>
  <c r="M276" i="1"/>
  <c r="L276" i="1"/>
  <c r="K276" i="1"/>
  <c r="I276" i="1"/>
  <c r="G276" i="1"/>
  <c r="F276" i="1" s="1"/>
  <c r="AL276" i="1" s="1"/>
  <c r="AM276" i="1" s="1"/>
  <c r="AN276" i="1" s="1"/>
  <c r="AK275" i="1"/>
  <c r="AJ275" i="1"/>
  <c r="AI275" i="1"/>
  <c r="AH275" i="1"/>
  <c r="AD275" i="1"/>
  <c r="AA275" i="1"/>
  <c r="X275" i="1"/>
  <c r="T275" i="1"/>
  <c r="S275" i="1"/>
  <c r="O275" i="1"/>
  <c r="P275" i="1" s="1"/>
  <c r="Q275" i="1" s="1"/>
  <c r="M275" i="1"/>
  <c r="L275" i="1"/>
  <c r="I275" i="1"/>
  <c r="K275" i="1" s="1"/>
  <c r="G275" i="1"/>
  <c r="F275" i="1"/>
  <c r="AL275" i="1" s="1"/>
  <c r="AK274" i="1"/>
  <c r="AJ274" i="1"/>
  <c r="AE274" i="1" s="1"/>
  <c r="AI274" i="1"/>
  <c r="AH274" i="1"/>
  <c r="AD274" i="1"/>
  <c r="AA274" i="1"/>
  <c r="X274" i="1"/>
  <c r="P274" i="1"/>
  <c r="Q274" i="1" s="1"/>
  <c r="O274" i="1"/>
  <c r="L274" i="1"/>
  <c r="K274" i="1"/>
  <c r="I274" i="1"/>
  <c r="AR273" i="1"/>
  <c r="AQ273" i="1"/>
  <c r="AK273" i="1"/>
  <c r="AJ273" i="1"/>
  <c r="AI273" i="1"/>
  <c r="AH273" i="1"/>
  <c r="AF273" i="1"/>
  <c r="AD273" i="1"/>
  <c r="AA273" i="1"/>
  <c r="X273" i="1"/>
  <c r="T273" i="1"/>
  <c r="S273" i="1"/>
  <c r="P273" i="1"/>
  <c r="Q273" i="1" s="1"/>
  <c r="O273" i="1"/>
  <c r="L273" i="1"/>
  <c r="M273" i="1" s="1"/>
  <c r="I273" i="1"/>
  <c r="K273" i="1" s="1"/>
  <c r="G273" i="1"/>
  <c r="F273" i="1"/>
  <c r="AL273" i="1" s="1"/>
  <c r="AR272" i="1"/>
  <c r="AQ272" i="1"/>
  <c r="AS272" i="1" s="1"/>
  <c r="AT272" i="1" s="1"/>
  <c r="AL272" i="1"/>
  <c r="AM272" i="1" s="1"/>
  <c r="AN272" i="1" s="1"/>
  <c r="AK272" i="1"/>
  <c r="AI272" i="1"/>
  <c r="AH272" i="1"/>
  <c r="AG272" i="1"/>
  <c r="AF272" i="1"/>
  <c r="AE272" i="1"/>
  <c r="X272" i="1"/>
  <c r="AD272" i="1" s="1"/>
  <c r="V272" i="1"/>
  <c r="S272" i="1"/>
  <c r="P272" i="1"/>
  <c r="Q272" i="1" s="1"/>
  <c r="M272" i="1"/>
  <c r="T272" i="1" s="1"/>
  <c r="K272" i="1"/>
  <c r="I272" i="1"/>
  <c r="AR271" i="1"/>
  <c r="AP271" i="1"/>
  <c r="AO271" i="1"/>
  <c r="AN271" i="1"/>
  <c r="AM271" i="1"/>
  <c r="AL271" i="1"/>
  <c r="AK271" i="1"/>
  <c r="AQ271" i="1" s="1"/>
  <c r="AS271" i="1" s="1"/>
  <c r="AT271" i="1" s="1"/>
  <c r="AI271" i="1"/>
  <c r="AG271" i="1"/>
  <c r="AH271" i="1" s="1"/>
  <c r="AF271" i="1"/>
  <c r="AE271" i="1"/>
  <c r="AD271" i="1"/>
  <c r="X271" i="1"/>
  <c r="V271" i="1"/>
  <c r="T271" i="1"/>
  <c r="S271" i="1"/>
  <c r="P271" i="1"/>
  <c r="Q271" i="1" s="1"/>
  <c r="M271" i="1"/>
  <c r="K271" i="1"/>
  <c r="I271" i="1"/>
  <c r="AR270" i="1"/>
  <c r="AN270" i="1"/>
  <c r="AP270" i="1" s="1"/>
  <c r="AL270" i="1"/>
  <c r="AM270" i="1" s="1"/>
  <c r="AK270" i="1"/>
  <c r="AQ270" i="1" s="1"/>
  <c r="AS270" i="1" s="1"/>
  <c r="AT270" i="1" s="1"/>
  <c r="AH270" i="1"/>
  <c r="AG270" i="1"/>
  <c r="AI270" i="1" s="1"/>
  <c r="AF270" i="1"/>
  <c r="AE270" i="1"/>
  <c r="X270" i="1"/>
  <c r="AD270" i="1" s="1"/>
  <c r="V270" i="1"/>
  <c r="S270" i="1"/>
  <c r="P270" i="1"/>
  <c r="Q270" i="1" s="1"/>
  <c r="M270" i="1"/>
  <c r="T270" i="1" s="1"/>
  <c r="I270" i="1"/>
  <c r="K270" i="1" s="1"/>
  <c r="AR269" i="1"/>
  <c r="AQ269" i="1"/>
  <c r="AS269" i="1" s="1"/>
  <c r="AL269" i="1"/>
  <c r="AM269" i="1" s="1"/>
  <c r="AN269" i="1" s="1"/>
  <c r="AK269" i="1"/>
  <c r="AG269" i="1"/>
  <c r="AI269" i="1" s="1"/>
  <c r="AF269" i="1"/>
  <c r="AE269" i="1"/>
  <c r="X269" i="1"/>
  <c r="AD269" i="1" s="1"/>
  <c r="V269" i="1"/>
  <c r="T269" i="1"/>
  <c r="S269" i="1"/>
  <c r="P269" i="1"/>
  <c r="Q269" i="1" s="1"/>
  <c r="M269" i="1"/>
  <c r="I269" i="1"/>
  <c r="K269" i="1" s="1"/>
  <c r="AR268" i="1"/>
  <c r="AQ268" i="1"/>
  <c r="AM268" i="1"/>
  <c r="AN268" i="1" s="1"/>
  <c r="AL268" i="1"/>
  <c r="AK268" i="1"/>
  <c r="AH268" i="1"/>
  <c r="AG268" i="1"/>
  <c r="AI268" i="1" s="1"/>
  <c r="AF268" i="1"/>
  <c r="AE268" i="1"/>
  <c r="AD268" i="1"/>
  <c r="X268" i="1"/>
  <c r="V268" i="1"/>
  <c r="T268" i="1"/>
  <c r="S268" i="1"/>
  <c r="Q268" i="1"/>
  <c r="P268" i="1"/>
  <c r="M268" i="1"/>
  <c r="K268" i="1"/>
  <c r="I268" i="1"/>
  <c r="AR267" i="1"/>
  <c r="AQ267" i="1"/>
  <c r="AS267" i="1" s="1"/>
  <c r="AT267" i="1" s="1"/>
  <c r="AL267" i="1"/>
  <c r="AM267" i="1" s="1"/>
  <c r="AN267" i="1" s="1"/>
  <c r="AK267" i="1"/>
  <c r="AG267" i="1"/>
  <c r="AF267" i="1"/>
  <c r="AE267" i="1"/>
  <c r="X267" i="1"/>
  <c r="AD267" i="1" s="1"/>
  <c r="V267" i="1"/>
  <c r="AI267" i="1" s="1"/>
  <c r="S267" i="1"/>
  <c r="P267" i="1"/>
  <c r="Q267" i="1" s="1"/>
  <c r="M267" i="1"/>
  <c r="T267" i="1" s="1"/>
  <c r="I267" i="1"/>
  <c r="K267" i="1" s="1"/>
  <c r="AR266" i="1"/>
  <c r="AL266" i="1"/>
  <c r="AM266" i="1" s="1"/>
  <c r="AN266" i="1" s="1"/>
  <c r="AK266" i="1"/>
  <c r="AQ266" i="1" s="1"/>
  <c r="AS266" i="1" s="1"/>
  <c r="AG266" i="1"/>
  <c r="AF266" i="1"/>
  <c r="AE266" i="1"/>
  <c r="AD266" i="1"/>
  <c r="X266" i="1"/>
  <c r="V266" i="1"/>
  <c r="AI266" i="1" s="1"/>
  <c r="T266" i="1"/>
  <c r="S266" i="1"/>
  <c r="P266" i="1"/>
  <c r="Q266" i="1" s="1"/>
  <c r="M266" i="1"/>
  <c r="K266" i="1"/>
  <c r="I266" i="1"/>
  <c r="AR265" i="1"/>
  <c r="AL265" i="1"/>
  <c r="AM265" i="1" s="1"/>
  <c r="AN265" i="1" s="1"/>
  <c r="AK265" i="1"/>
  <c r="AQ265" i="1" s="1"/>
  <c r="AS265" i="1" s="1"/>
  <c r="AG265" i="1"/>
  <c r="AI265" i="1" s="1"/>
  <c r="AF265" i="1"/>
  <c r="AE265" i="1"/>
  <c r="X265" i="1"/>
  <c r="AD265" i="1" s="1"/>
  <c r="V265" i="1"/>
  <c r="S265" i="1"/>
  <c r="P265" i="1"/>
  <c r="Q265" i="1" s="1"/>
  <c r="M265" i="1"/>
  <c r="T265" i="1" s="1"/>
  <c r="I265" i="1"/>
  <c r="K265" i="1" s="1"/>
  <c r="AR264" i="1"/>
  <c r="AQ264" i="1"/>
  <c r="AS264" i="1" s="1"/>
  <c r="AT264" i="1" s="1"/>
  <c r="AM264" i="1"/>
  <c r="AN264" i="1" s="1"/>
  <c r="AL264" i="1"/>
  <c r="AK264" i="1"/>
  <c r="AH264" i="1"/>
  <c r="AG264" i="1"/>
  <c r="AI264" i="1" s="1"/>
  <c r="AF264" i="1"/>
  <c r="AE264" i="1"/>
  <c r="AD264" i="1"/>
  <c r="X264" i="1"/>
  <c r="V264" i="1"/>
  <c r="S264" i="1"/>
  <c r="Q264" i="1"/>
  <c r="P264" i="1"/>
  <c r="M264" i="1"/>
  <c r="T264" i="1" s="1"/>
  <c r="K264" i="1"/>
  <c r="I264" i="1"/>
  <c r="AR263" i="1"/>
  <c r="AQ263" i="1"/>
  <c r="AS263" i="1" s="1"/>
  <c r="AT263" i="1" s="1"/>
  <c r="AN263" i="1"/>
  <c r="AM263" i="1"/>
  <c r="AL263" i="1"/>
  <c r="AK263" i="1"/>
  <c r="AI263" i="1"/>
  <c r="AH263" i="1"/>
  <c r="AG263" i="1"/>
  <c r="AF263" i="1"/>
  <c r="AE263" i="1"/>
  <c r="AD263" i="1"/>
  <c r="X263" i="1"/>
  <c r="V263" i="1"/>
  <c r="S263" i="1"/>
  <c r="Q263" i="1"/>
  <c r="P263" i="1"/>
  <c r="M263" i="1"/>
  <c r="T263" i="1" s="1"/>
  <c r="K263" i="1"/>
  <c r="I263" i="1"/>
  <c r="AR262" i="1"/>
  <c r="AO262" i="1"/>
  <c r="AN262" i="1"/>
  <c r="AP262" i="1" s="1"/>
  <c r="AM262" i="1"/>
  <c r="AL262" i="1"/>
  <c r="AK262" i="1"/>
  <c r="AQ262" i="1" s="1"/>
  <c r="AS262" i="1" s="1"/>
  <c r="AT262" i="1" s="1"/>
  <c r="AI262" i="1"/>
  <c r="AG262" i="1"/>
  <c r="AF262" i="1"/>
  <c r="AE262" i="1"/>
  <c r="AD262" i="1"/>
  <c r="X262" i="1"/>
  <c r="V262" i="1"/>
  <c r="AH262" i="1" s="1"/>
  <c r="S262" i="1"/>
  <c r="P262" i="1"/>
  <c r="Q262" i="1" s="1"/>
  <c r="M262" i="1"/>
  <c r="T262" i="1" s="1"/>
  <c r="K262" i="1"/>
  <c r="I262" i="1"/>
  <c r="AR261" i="1"/>
  <c r="AP261" i="1"/>
  <c r="AL261" i="1"/>
  <c r="AM261" i="1" s="1"/>
  <c r="AN261" i="1" s="1"/>
  <c r="AO261" i="1" s="1"/>
  <c r="AK261" i="1"/>
  <c r="AQ261" i="1" s="1"/>
  <c r="AS261" i="1" s="1"/>
  <c r="AG261" i="1"/>
  <c r="AF261" i="1"/>
  <c r="AE261" i="1"/>
  <c r="X261" i="1"/>
  <c r="AD261" i="1" s="1"/>
  <c r="S261" i="1"/>
  <c r="P261" i="1"/>
  <c r="Q261" i="1" s="1"/>
  <c r="M261" i="1"/>
  <c r="T261" i="1" s="1"/>
  <c r="K261" i="1"/>
  <c r="I261" i="1"/>
  <c r="AR260" i="1"/>
  <c r="AP260" i="1"/>
  <c r="AL260" i="1"/>
  <c r="AM260" i="1" s="1"/>
  <c r="AN260" i="1" s="1"/>
  <c r="AO260" i="1" s="1"/>
  <c r="AK260" i="1"/>
  <c r="AQ260" i="1" s="1"/>
  <c r="AS260" i="1" s="1"/>
  <c r="AT260" i="1" s="1"/>
  <c r="AG260" i="1"/>
  <c r="AF260" i="1"/>
  <c r="AE260" i="1"/>
  <c r="X260" i="1"/>
  <c r="AD260" i="1" s="1"/>
  <c r="S260" i="1"/>
  <c r="P260" i="1"/>
  <c r="Q260" i="1" s="1"/>
  <c r="M260" i="1"/>
  <c r="T260" i="1" s="1"/>
  <c r="K260" i="1"/>
  <c r="I260" i="1"/>
  <c r="AR259" i="1"/>
  <c r="AL259" i="1"/>
  <c r="AM259" i="1" s="1"/>
  <c r="AN259" i="1" s="1"/>
  <c r="AK259" i="1"/>
  <c r="AQ259" i="1" s="1"/>
  <c r="AS259" i="1" s="1"/>
  <c r="AG259" i="1"/>
  <c r="AF259" i="1"/>
  <c r="AE259" i="1"/>
  <c r="X259" i="1"/>
  <c r="AD259" i="1" s="1"/>
  <c r="S259" i="1"/>
  <c r="P259" i="1"/>
  <c r="Q259" i="1" s="1"/>
  <c r="M259" i="1"/>
  <c r="T259" i="1" s="1"/>
  <c r="K259" i="1"/>
  <c r="I259" i="1"/>
  <c r="AR258" i="1"/>
  <c r="AL258" i="1"/>
  <c r="AM258" i="1" s="1"/>
  <c r="AN258" i="1" s="1"/>
  <c r="AO258" i="1" s="1"/>
  <c r="AK258" i="1"/>
  <c r="AQ258" i="1" s="1"/>
  <c r="AS258" i="1" s="1"/>
  <c r="AG258" i="1"/>
  <c r="AF258" i="1"/>
  <c r="AE258" i="1"/>
  <c r="AB258" i="1"/>
  <c r="AD258" i="1" s="1"/>
  <c r="X258" i="1"/>
  <c r="V258" i="1"/>
  <c r="T258" i="1"/>
  <c r="S258" i="1"/>
  <c r="Q258" i="1"/>
  <c r="P258" i="1"/>
  <c r="M258" i="1"/>
  <c r="K258" i="1"/>
  <c r="I258" i="1"/>
  <c r="AR257" i="1"/>
  <c r="AQ257" i="1"/>
  <c r="AS257" i="1" s="1"/>
  <c r="AT257" i="1" s="1"/>
  <c r="AN257" i="1"/>
  <c r="AM257" i="1"/>
  <c r="AL257" i="1"/>
  <c r="AK257" i="1"/>
  <c r="AG257" i="1"/>
  <c r="AF257" i="1"/>
  <c r="AE257" i="1"/>
  <c r="AD257" i="1"/>
  <c r="AB257" i="1"/>
  <c r="X257" i="1"/>
  <c r="V257" i="1"/>
  <c r="AH257" i="1" s="1"/>
  <c r="T257" i="1"/>
  <c r="S257" i="1"/>
  <c r="P257" i="1"/>
  <c r="Q257" i="1" s="1"/>
  <c r="M257" i="1"/>
  <c r="K257" i="1"/>
  <c r="I257" i="1"/>
  <c r="AL256" i="1"/>
  <c r="AM256" i="1" s="1"/>
  <c r="AN256" i="1" s="1"/>
  <c r="AK256" i="1"/>
  <c r="AQ256" i="1" s="1"/>
  <c r="AG256" i="1"/>
  <c r="AI256" i="1" s="1"/>
  <c r="AF256" i="1"/>
  <c r="AE256" i="1"/>
  <c r="X256" i="1"/>
  <c r="AD256" i="1" s="1"/>
  <c r="T256" i="1"/>
  <c r="P256" i="1"/>
  <c r="Q256" i="1" s="1"/>
  <c r="M256" i="1"/>
  <c r="L256" i="1"/>
  <c r="AR256" i="1" s="1"/>
  <c r="I256" i="1"/>
  <c r="K256" i="1" s="1"/>
  <c r="F256" i="1"/>
  <c r="AN255" i="1"/>
  <c r="AM255" i="1"/>
  <c r="AL255" i="1"/>
  <c r="AK255" i="1"/>
  <c r="AI255" i="1"/>
  <c r="AH255" i="1"/>
  <c r="AG255" i="1"/>
  <c r="AF255" i="1"/>
  <c r="AE255" i="1"/>
  <c r="AD255" i="1"/>
  <c r="X255" i="1"/>
  <c r="Q255" i="1"/>
  <c r="P255" i="1"/>
  <c r="L255" i="1"/>
  <c r="K255" i="1"/>
  <c r="I255" i="1"/>
  <c r="F255" i="1"/>
  <c r="AR254" i="1"/>
  <c r="AK254" i="1"/>
  <c r="AQ254" i="1" s="1"/>
  <c r="AS254" i="1" s="1"/>
  <c r="AT254" i="1" s="1"/>
  <c r="AG254" i="1"/>
  <c r="AF254" i="1"/>
  <c r="AE254" i="1"/>
  <c r="X254" i="1"/>
  <c r="AD254" i="1" s="1"/>
  <c r="S254" i="1"/>
  <c r="P254" i="1"/>
  <c r="Q254" i="1" s="1"/>
  <c r="M254" i="1"/>
  <c r="T254" i="1" s="1"/>
  <c r="K254" i="1"/>
  <c r="I254" i="1"/>
  <c r="F254" i="1"/>
  <c r="AL254" i="1" s="1"/>
  <c r="AM254" i="1" s="1"/>
  <c r="AN254" i="1" s="1"/>
  <c r="AO254" i="1" s="1"/>
  <c r="AR253" i="1"/>
  <c r="AQ253" i="1"/>
  <c r="AS253" i="1" s="1"/>
  <c r="AT253" i="1" s="1"/>
  <c r="AK253" i="1"/>
  <c r="AH253" i="1"/>
  <c r="AG253" i="1"/>
  <c r="AI253" i="1" s="1"/>
  <c r="AF253" i="1"/>
  <c r="AE253" i="1"/>
  <c r="AD253" i="1"/>
  <c r="X253" i="1"/>
  <c r="T253" i="1"/>
  <c r="S253" i="1"/>
  <c r="Q253" i="1"/>
  <c r="P253" i="1"/>
  <c r="M253" i="1"/>
  <c r="I253" i="1"/>
  <c r="K253" i="1" s="1"/>
  <c r="F253" i="1"/>
  <c r="AL253" i="1" s="1"/>
  <c r="AM253" i="1" s="1"/>
  <c r="AN253" i="1" s="1"/>
  <c r="AR252" i="1"/>
  <c r="AQ252" i="1"/>
  <c r="AS252" i="1" s="1"/>
  <c r="AK252" i="1"/>
  <c r="AI252" i="1"/>
  <c r="AH252" i="1"/>
  <c r="AG252" i="1"/>
  <c r="AF252" i="1"/>
  <c r="AE252" i="1"/>
  <c r="AD252" i="1"/>
  <c r="X252" i="1"/>
  <c r="T252" i="1"/>
  <c r="S252" i="1"/>
  <c r="Q252" i="1"/>
  <c r="P252" i="1"/>
  <c r="M252" i="1"/>
  <c r="K252" i="1"/>
  <c r="I252" i="1"/>
  <c r="F252" i="1"/>
  <c r="AL252" i="1" s="1"/>
  <c r="AM252" i="1" s="1"/>
  <c r="AN252" i="1" s="1"/>
  <c r="AK251" i="1"/>
  <c r="AJ251" i="1"/>
  <c r="AR251" i="1" s="1"/>
  <c r="AI251" i="1"/>
  <c r="AH251" i="1"/>
  <c r="AD251" i="1"/>
  <c r="X251" i="1"/>
  <c r="T251" i="1"/>
  <c r="S251" i="1"/>
  <c r="Q251" i="1"/>
  <c r="P251" i="1"/>
  <c r="M251" i="1"/>
  <c r="L251" i="1"/>
  <c r="K251" i="1"/>
  <c r="I251" i="1"/>
  <c r="F251" i="1"/>
  <c r="AL251" i="1" s="1"/>
  <c r="AQ250" i="1"/>
  <c r="AM250" i="1"/>
  <c r="AN250" i="1" s="1"/>
  <c r="AL250" i="1"/>
  <c r="AK250" i="1"/>
  <c r="AJ250" i="1"/>
  <c r="AR250" i="1" s="1"/>
  <c r="AI250" i="1"/>
  <c r="AH250" i="1"/>
  <c r="AF250" i="1"/>
  <c r="AE250" i="1"/>
  <c r="AD250" i="1"/>
  <c r="X250" i="1"/>
  <c r="Q250" i="1"/>
  <c r="P250" i="1"/>
  <c r="M250" i="1"/>
  <c r="T250" i="1" s="1"/>
  <c r="L250" i="1"/>
  <c r="S250" i="1" s="1"/>
  <c r="K250" i="1"/>
  <c r="I250" i="1"/>
  <c r="F250" i="1"/>
  <c r="AK249" i="1"/>
  <c r="AQ249" i="1" s="1"/>
  <c r="AJ249" i="1"/>
  <c r="AM249" i="1" s="1"/>
  <c r="AN249" i="1" s="1"/>
  <c r="AP249" i="1" s="1"/>
  <c r="AI249" i="1"/>
  <c r="AH249" i="1"/>
  <c r="AF249" i="1"/>
  <c r="AE249" i="1"/>
  <c r="AD249" i="1"/>
  <c r="X249" i="1"/>
  <c r="Q249" i="1"/>
  <c r="P249" i="1"/>
  <c r="M249" i="1"/>
  <c r="T249" i="1" s="1"/>
  <c r="L249" i="1"/>
  <c r="S249" i="1" s="1"/>
  <c r="K249" i="1"/>
  <c r="I249" i="1"/>
  <c r="F249" i="1"/>
  <c r="AL249" i="1" s="1"/>
  <c r="AQ248" i="1"/>
  <c r="AM248" i="1"/>
  <c r="AN248" i="1" s="1"/>
  <c r="AL248" i="1"/>
  <c r="AK248" i="1"/>
  <c r="AJ248" i="1"/>
  <c r="AE248" i="1" s="1"/>
  <c r="AI248" i="1"/>
  <c r="AH248" i="1"/>
  <c r="AF248" i="1"/>
  <c r="AD248" i="1"/>
  <c r="X248" i="1"/>
  <c r="T248" i="1"/>
  <c r="S248" i="1"/>
  <c r="Q248" i="1"/>
  <c r="P248" i="1"/>
  <c r="M248" i="1"/>
  <c r="L248" i="1"/>
  <c r="K248" i="1"/>
  <c r="I248" i="1"/>
  <c r="F248" i="1"/>
  <c r="AK247" i="1"/>
  <c r="AJ247" i="1"/>
  <c r="AR247" i="1" s="1"/>
  <c r="AI247" i="1"/>
  <c r="AH247" i="1"/>
  <c r="AD247" i="1"/>
  <c r="X247" i="1"/>
  <c r="T247" i="1"/>
  <c r="S247" i="1"/>
  <c r="Q247" i="1"/>
  <c r="P247" i="1"/>
  <c r="M247" i="1"/>
  <c r="L247" i="1"/>
  <c r="K247" i="1"/>
  <c r="I247" i="1"/>
  <c r="F247" i="1"/>
  <c r="AL247" i="1" s="1"/>
  <c r="AQ246" i="1"/>
  <c r="AM246" i="1"/>
  <c r="AN246" i="1" s="1"/>
  <c r="AL246" i="1"/>
  <c r="AK246" i="1"/>
  <c r="AJ246" i="1"/>
  <c r="AR246" i="1" s="1"/>
  <c r="AI246" i="1"/>
  <c r="AH246" i="1"/>
  <c r="AF246" i="1"/>
  <c r="AE246" i="1"/>
  <c r="AD246" i="1"/>
  <c r="X246" i="1"/>
  <c r="Q246" i="1"/>
  <c r="P246" i="1"/>
  <c r="M246" i="1"/>
  <c r="T246" i="1" s="1"/>
  <c r="L246" i="1"/>
  <c r="S246" i="1" s="1"/>
  <c r="K246" i="1"/>
  <c r="I246" i="1"/>
  <c r="F246" i="1"/>
  <c r="AO245" i="1"/>
  <c r="AK245" i="1"/>
  <c r="AQ245" i="1" s="1"/>
  <c r="AJ245" i="1"/>
  <c r="AM245" i="1" s="1"/>
  <c r="AN245" i="1" s="1"/>
  <c r="AP245" i="1" s="1"/>
  <c r="AI245" i="1"/>
  <c r="AH245" i="1"/>
  <c r="AF245" i="1"/>
  <c r="AE245" i="1"/>
  <c r="AD245" i="1"/>
  <c r="X245" i="1"/>
  <c r="Q245" i="1"/>
  <c r="P245" i="1"/>
  <c r="M245" i="1"/>
  <c r="T245" i="1" s="1"/>
  <c r="L245" i="1"/>
  <c r="S245" i="1" s="1"/>
  <c r="K245" i="1"/>
  <c r="I245" i="1"/>
  <c r="F245" i="1"/>
  <c r="AL245" i="1" s="1"/>
  <c r="AQ244" i="1"/>
  <c r="AM244" i="1"/>
  <c r="AN244" i="1" s="1"/>
  <c r="AL244" i="1"/>
  <c r="AK244" i="1"/>
  <c r="AJ244" i="1"/>
  <c r="AE244" i="1" s="1"/>
  <c r="AI244" i="1"/>
  <c r="AH244" i="1"/>
  <c r="AF244" i="1"/>
  <c r="AD244" i="1"/>
  <c r="X244" i="1"/>
  <c r="T244" i="1"/>
  <c r="S244" i="1"/>
  <c r="Q244" i="1"/>
  <c r="P244" i="1"/>
  <c r="M244" i="1"/>
  <c r="L244" i="1"/>
  <c r="K244" i="1"/>
  <c r="I244" i="1"/>
  <c r="F244" i="1"/>
  <c r="AK243" i="1"/>
  <c r="AQ243" i="1" s="1"/>
  <c r="AS243" i="1" s="1"/>
  <c r="AJ243" i="1"/>
  <c r="AR243" i="1" s="1"/>
  <c r="AI243" i="1"/>
  <c r="AH243" i="1"/>
  <c r="AD243" i="1"/>
  <c r="X243" i="1"/>
  <c r="T243" i="1"/>
  <c r="S243" i="1"/>
  <c r="Q243" i="1"/>
  <c r="P243" i="1"/>
  <c r="M243" i="1"/>
  <c r="L243" i="1"/>
  <c r="K243" i="1"/>
  <c r="I243" i="1"/>
  <c r="F243" i="1"/>
  <c r="AL243" i="1" s="1"/>
  <c r="AQ242" i="1"/>
  <c r="AS242" i="1" s="1"/>
  <c r="AM242" i="1"/>
  <c r="AN242" i="1" s="1"/>
  <c r="AL242" i="1"/>
  <c r="AK242" i="1"/>
  <c r="AJ242" i="1"/>
  <c r="AR242" i="1" s="1"/>
  <c r="AI242" i="1"/>
  <c r="AH242" i="1"/>
  <c r="AF242" i="1"/>
  <c r="AE242" i="1"/>
  <c r="AD242" i="1"/>
  <c r="X242" i="1"/>
  <c r="Q242" i="1"/>
  <c r="P242" i="1"/>
  <c r="M242" i="1"/>
  <c r="T242" i="1" s="1"/>
  <c r="L242" i="1"/>
  <c r="S242" i="1" s="1"/>
  <c r="K242" i="1"/>
  <c r="I242" i="1"/>
  <c r="F242" i="1"/>
  <c r="AK241" i="1"/>
  <c r="AQ241" i="1" s="1"/>
  <c r="AJ241" i="1"/>
  <c r="AI241" i="1"/>
  <c r="AH241" i="1"/>
  <c r="AF241" i="1"/>
  <c r="AE241" i="1"/>
  <c r="AD241" i="1"/>
  <c r="X241" i="1"/>
  <c r="Q241" i="1"/>
  <c r="P241" i="1"/>
  <c r="M241" i="1"/>
  <c r="T241" i="1" s="1"/>
  <c r="L241" i="1"/>
  <c r="S241" i="1" s="1"/>
  <c r="K241" i="1"/>
  <c r="I241" i="1"/>
  <c r="F241" i="1"/>
  <c r="AL241" i="1" s="1"/>
  <c r="AQ240" i="1"/>
  <c r="AM240" i="1"/>
  <c r="AN240" i="1" s="1"/>
  <c r="AL240" i="1"/>
  <c r="AK240" i="1"/>
  <c r="AJ240" i="1"/>
  <c r="AE240" i="1" s="1"/>
  <c r="AI240" i="1"/>
  <c r="AH240" i="1"/>
  <c r="AF240" i="1"/>
  <c r="AD240" i="1"/>
  <c r="X240" i="1"/>
  <c r="T240" i="1"/>
  <c r="S240" i="1"/>
  <c r="Q240" i="1"/>
  <c r="P240" i="1"/>
  <c r="M240" i="1"/>
  <c r="L240" i="1"/>
  <c r="K240" i="1"/>
  <c r="I240" i="1"/>
  <c r="F240" i="1"/>
  <c r="AS239" i="1"/>
  <c r="AK239" i="1"/>
  <c r="AQ239" i="1" s="1"/>
  <c r="AJ239" i="1"/>
  <c r="AR239" i="1" s="1"/>
  <c r="AI239" i="1"/>
  <c r="AH239" i="1"/>
  <c r="AD239" i="1"/>
  <c r="X239" i="1"/>
  <c r="T239" i="1"/>
  <c r="S239" i="1"/>
  <c r="Q239" i="1"/>
  <c r="P239" i="1"/>
  <c r="M239" i="1"/>
  <c r="L239" i="1"/>
  <c r="K239" i="1"/>
  <c r="I239" i="1"/>
  <c r="F239" i="1"/>
  <c r="AL239" i="1" s="1"/>
  <c r="AQ238" i="1"/>
  <c r="AM238" i="1"/>
  <c r="AN238" i="1" s="1"/>
  <c r="AL238" i="1"/>
  <c r="AK238" i="1"/>
  <c r="AJ238" i="1"/>
  <c r="AR238" i="1" s="1"/>
  <c r="AI238" i="1"/>
  <c r="AH238" i="1"/>
  <c r="AF238" i="1"/>
  <c r="AE238" i="1"/>
  <c r="X238" i="1"/>
  <c r="AD238" i="1" s="1"/>
  <c r="Q238" i="1"/>
  <c r="P238" i="1"/>
  <c r="M238" i="1"/>
  <c r="T238" i="1" s="1"/>
  <c r="L238" i="1"/>
  <c r="S238" i="1" s="1"/>
  <c r="I238" i="1"/>
  <c r="K238" i="1" s="1"/>
  <c r="F238" i="1"/>
  <c r="AK237" i="1"/>
  <c r="AQ237" i="1" s="1"/>
  <c r="AJ237" i="1"/>
  <c r="AM237" i="1" s="1"/>
  <c r="AN237" i="1" s="1"/>
  <c r="AI237" i="1"/>
  <c r="AH237" i="1"/>
  <c r="AF237" i="1"/>
  <c r="AE237" i="1"/>
  <c r="AD237" i="1"/>
  <c r="X237" i="1"/>
  <c r="Q237" i="1"/>
  <c r="P237" i="1"/>
  <c r="M237" i="1"/>
  <c r="T237" i="1" s="1"/>
  <c r="L237" i="1"/>
  <c r="S237" i="1" s="1"/>
  <c r="K237" i="1"/>
  <c r="I237" i="1"/>
  <c r="F237" i="1"/>
  <c r="AL237" i="1" s="1"/>
  <c r="AQ236" i="1"/>
  <c r="AP236" i="1"/>
  <c r="AM236" i="1"/>
  <c r="AN236" i="1" s="1"/>
  <c r="AO236" i="1" s="1"/>
  <c r="AL236" i="1"/>
  <c r="AK236" i="1"/>
  <c r="AJ236" i="1"/>
  <c r="AE236" i="1" s="1"/>
  <c r="AI236" i="1"/>
  <c r="AH236" i="1"/>
  <c r="AF236" i="1"/>
  <c r="AD236" i="1"/>
  <c r="X236" i="1"/>
  <c r="T236" i="1"/>
  <c r="S236" i="1"/>
  <c r="Q236" i="1"/>
  <c r="P236" i="1"/>
  <c r="M236" i="1"/>
  <c r="L236" i="1"/>
  <c r="K236" i="1"/>
  <c r="I236" i="1"/>
  <c r="F236" i="1"/>
  <c r="AK235" i="1"/>
  <c r="AQ235" i="1" s="1"/>
  <c r="AJ235" i="1"/>
  <c r="AI235" i="1"/>
  <c r="AH235" i="1"/>
  <c r="AD235" i="1"/>
  <c r="X235" i="1"/>
  <c r="T235" i="1"/>
  <c r="S235" i="1"/>
  <c r="Q235" i="1"/>
  <c r="P235" i="1"/>
  <c r="M235" i="1"/>
  <c r="L235" i="1"/>
  <c r="K235" i="1"/>
  <c r="I235" i="1"/>
  <c r="F235" i="1"/>
  <c r="AL235" i="1" s="1"/>
  <c r="AQ234" i="1"/>
  <c r="AM234" i="1"/>
  <c r="AN234" i="1" s="1"/>
  <c r="AL234" i="1"/>
  <c r="AK234" i="1"/>
  <c r="AJ234" i="1"/>
  <c r="AR234" i="1" s="1"/>
  <c r="AI234" i="1"/>
  <c r="AH234" i="1"/>
  <c r="AF234" i="1"/>
  <c r="AE234" i="1"/>
  <c r="AD234" i="1"/>
  <c r="X234" i="1"/>
  <c r="Q234" i="1"/>
  <c r="P234" i="1"/>
  <c r="M234" i="1"/>
  <c r="T234" i="1" s="1"/>
  <c r="L234" i="1"/>
  <c r="S234" i="1" s="1"/>
  <c r="K234" i="1"/>
  <c r="I234" i="1"/>
  <c r="F234" i="1"/>
  <c r="AR233" i="1"/>
  <c r="AO233" i="1"/>
  <c r="AN233" i="1"/>
  <c r="AP233" i="1" s="1"/>
  <c r="AM233" i="1"/>
  <c r="AG233" i="1" s="1"/>
  <c r="AL233" i="1"/>
  <c r="AK233" i="1"/>
  <c r="AQ233" i="1" s="1"/>
  <c r="AS233" i="1" s="1"/>
  <c r="AT233" i="1" s="1"/>
  <c r="AF233" i="1"/>
  <c r="AE233" i="1"/>
  <c r="AD233" i="1"/>
  <c r="V233" i="1"/>
  <c r="S233" i="1"/>
  <c r="Q233" i="1"/>
  <c r="P233" i="1"/>
  <c r="M233" i="1"/>
  <c r="T233" i="1" s="1"/>
  <c r="K233" i="1"/>
  <c r="I233" i="1"/>
  <c r="AR232" i="1"/>
  <c r="AO232" i="1"/>
  <c r="AN232" i="1"/>
  <c r="AP232" i="1" s="1"/>
  <c r="AL232" i="1"/>
  <c r="AM232" i="1" s="1"/>
  <c r="AG232" i="1" s="1"/>
  <c r="AK232" i="1"/>
  <c r="AQ232" i="1" s="1"/>
  <c r="AS232" i="1" s="1"/>
  <c r="AF232" i="1"/>
  <c r="AE232" i="1"/>
  <c r="AD232" i="1"/>
  <c r="V232" i="1"/>
  <c r="S232" i="1"/>
  <c r="Q232" i="1"/>
  <c r="P232" i="1"/>
  <c r="M232" i="1"/>
  <c r="T232" i="1" s="1"/>
  <c r="K232" i="1"/>
  <c r="I232" i="1"/>
  <c r="AR231" i="1"/>
  <c r="AN231" i="1"/>
  <c r="AL231" i="1"/>
  <c r="AM231" i="1" s="1"/>
  <c r="AG231" i="1" s="1"/>
  <c r="AK231" i="1"/>
  <c r="AQ231" i="1" s="1"/>
  <c r="AS231" i="1" s="1"/>
  <c r="AF231" i="1"/>
  <c r="AE231" i="1"/>
  <c r="AD231" i="1"/>
  <c r="V231" i="1"/>
  <c r="S231" i="1"/>
  <c r="Q231" i="1"/>
  <c r="P231" i="1"/>
  <c r="M231" i="1"/>
  <c r="T231" i="1" s="1"/>
  <c r="K231" i="1"/>
  <c r="I231" i="1"/>
  <c r="AR230" i="1"/>
  <c r="AL230" i="1"/>
  <c r="AM230" i="1" s="1"/>
  <c r="AK230" i="1"/>
  <c r="AQ230" i="1" s="1"/>
  <c r="AS230" i="1" s="1"/>
  <c r="AF230" i="1"/>
  <c r="AE230" i="1"/>
  <c r="AD230" i="1"/>
  <c r="V230" i="1"/>
  <c r="S230" i="1"/>
  <c r="Q230" i="1"/>
  <c r="P230" i="1"/>
  <c r="M230" i="1"/>
  <c r="T230" i="1" s="1"/>
  <c r="K230" i="1"/>
  <c r="I230" i="1"/>
  <c r="AR229" i="1"/>
  <c r="AN229" i="1"/>
  <c r="AP229" i="1" s="1"/>
  <c r="AL229" i="1"/>
  <c r="AM229" i="1" s="1"/>
  <c r="AG229" i="1" s="1"/>
  <c r="AK229" i="1"/>
  <c r="AQ229" i="1" s="1"/>
  <c r="AS229" i="1" s="1"/>
  <c r="AT229" i="1" s="1"/>
  <c r="AF229" i="1"/>
  <c r="AE229" i="1"/>
  <c r="AD229" i="1"/>
  <c r="V229" i="1"/>
  <c r="S229" i="1"/>
  <c r="Q229" i="1"/>
  <c r="P229" i="1"/>
  <c r="M229" i="1"/>
  <c r="T229" i="1" s="1"/>
  <c r="K229" i="1"/>
  <c r="I229" i="1"/>
  <c r="AR228" i="1"/>
  <c r="AL228" i="1"/>
  <c r="AM228" i="1" s="1"/>
  <c r="AG228" i="1" s="1"/>
  <c r="AK228" i="1"/>
  <c r="AQ228" i="1" s="1"/>
  <c r="AS228" i="1" s="1"/>
  <c r="AF228" i="1"/>
  <c r="AE228" i="1"/>
  <c r="AD228" i="1"/>
  <c r="V228" i="1"/>
  <c r="S228" i="1"/>
  <c r="Q228" i="1"/>
  <c r="P228" i="1"/>
  <c r="M228" i="1"/>
  <c r="T228" i="1" s="1"/>
  <c r="K228" i="1"/>
  <c r="I228" i="1"/>
  <c r="AR227" i="1"/>
  <c r="AN227" i="1"/>
  <c r="AP227" i="1" s="1"/>
  <c r="AL227" i="1"/>
  <c r="AM227" i="1" s="1"/>
  <c r="AG227" i="1" s="1"/>
  <c r="AK227" i="1"/>
  <c r="AQ227" i="1" s="1"/>
  <c r="AS227" i="1" s="1"/>
  <c r="AT227" i="1" s="1"/>
  <c r="AF227" i="1"/>
  <c r="AE227" i="1"/>
  <c r="AB227" i="1"/>
  <c r="X227" i="1"/>
  <c r="S227" i="1"/>
  <c r="P227" i="1"/>
  <c r="Q227" i="1" s="1"/>
  <c r="M227" i="1"/>
  <c r="T227" i="1" s="1"/>
  <c r="I227" i="1"/>
  <c r="K227" i="1" s="1"/>
  <c r="AT226" i="1"/>
  <c r="AR226" i="1"/>
  <c r="AO226" i="1"/>
  <c r="AL226" i="1"/>
  <c r="AM226" i="1" s="1"/>
  <c r="AN226" i="1" s="1"/>
  <c r="AP226" i="1" s="1"/>
  <c r="AK226" i="1"/>
  <c r="AQ226" i="1" s="1"/>
  <c r="AS226" i="1" s="1"/>
  <c r="AF226" i="1"/>
  <c r="AE226" i="1"/>
  <c r="AB226" i="1"/>
  <c r="AD226" i="1" s="1"/>
  <c r="AA226" i="1"/>
  <c r="Y226" i="1"/>
  <c r="S226" i="1"/>
  <c r="Q226" i="1"/>
  <c r="P226" i="1"/>
  <c r="M226" i="1"/>
  <c r="T226" i="1" s="1"/>
  <c r="K226" i="1"/>
  <c r="I226" i="1"/>
  <c r="AR225" i="1"/>
  <c r="AQ225" i="1"/>
  <c r="AS225" i="1" s="1"/>
  <c r="AT225" i="1" s="1"/>
  <c r="AN225" i="1"/>
  <c r="AM225" i="1"/>
  <c r="AG225" i="1" s="1"/>
  <c r="AH225" i="1" s="1"/>
  <c r="AL225" i="1"/>
  <c r="AK225" i="1"/>
  <c r="AI225" i="1"/>
  <c r="AF225" i="1"/>
  <c r="AE225" i="1"/>
  <c r="AD225" i="1"/>
  <c r="AB225" i="1"/>
  <c r="S225" i="1"/>
  <c r="Q225" i="1"/>
  <c r="P225" i="1"/>
  <c r="M225" i="1"/>
  <c r="T225" i="1" s="1"/>
  <c r="K225" i="1"/>
  <c r="I225" i="1"/>
  <c r="AR224" i="1"/>
  <c r="AQ224" i="1"/>
  <c r="AS224" i="1" s="1"/>
  <c r="AT224" i="1" s="1"/>
  <c r="AN224" i="1"/>
  <c r="AM224" i="1"/>
  <c r="AG224" i="1" s="1"/>
  <c r="AL224" i="1"/>
  <c r="AK224" i="1"/>
  <c r="AF224" i="1"/>
  <c r="AE224" i="1"/>
  <c r="AD224" i="1"/>
  <c r="AB224" i="1"/>
  <c r="X224" i="1"/>
  <c r="S224" i="1"/>
  <c r="P224" i="1"/>
  <c r="Q224" i="1" s="1"/>
  <c r="M224" i="1"/>
  <c r="T224" i="1" s="1"/>
  <c r="K224" i="1"/>
  <c r="I224" i="1"/>
  <c r="AS223" i="1"/>
  <c r="AT223" i="1" s="1"/>
  <c r="AR223" i="1"/>
  <c r="AO223" i="1"/>
  <c r="AN223" i="1"/>
  <c r="AP223" i="1" s="1"/>
  <c r="AM223" i="1"/>
  <c r="AL223" i="1"/>
  <c r="AK223" i="1"/>
  <c r="AQ223" i="1" s="1"/>
  <c r="AI223" i="1"/>
  <c r="AG223" i="1"/>
  <c r="AH223" i="1" s="1"/>
  <c r="AF223" i="1"/>
  <c r="AE223" i="1"/>
  <c r="AB223" i="1"/>
  <c r="X223" i="1"/>
  <c r="AD223" i="1" s="1"/>
  <c r="S223" i="1"/>
  <c r="P223" i="1"/>
  <c r="Q223" i="1" s="1"/>
  <c r="M223" i="1"/>
  <c r="T223" i="1" s="1"/>
  <c r="K223" i="1"/>
  <c r="I223" i="1"/>
  <c r="AR222" i="1"/>
  <c r="AL222" i="1"/>
  <c r="AM222" i="1" s="1"/>
  <c r="AK222" i="1"/>
  <c r="AQ222" i="1" s="1"/>
  <c r="AS222" i="1" s="1"/>
  <c r="AT222" i="1" s="1"/>
  <c r="AF222" i="1"/>
  <c r="AE222" i="1"/>
  <c r="AB222" i="1"/>
  <c r="X222" i="1"/>
  <c r="S222" i="1"/>
  <c r="Q222" i="1"/>
  <c r="P222" i="1"/>
  <c r="M222" i="1"/>
  <c r="T222" i="1" s="1"/>
  <c r="I222" i="1"/>
  <c r="K222" i="1" s="1"/>
  <c r="AR221" i="1"/>
  <c r="AQ221" i="1"/>
  <c r="AS221" i="1" s="1"/>
  <c r="AT221" i="1" s="1"/>
  <c r="AM221" i="1"/>
  <c r="AL221" i="1"/>
  <c r="AK221" i="1"/>
  <c r="AF221" i="1"/>
  <c r="AE221" i="1"/>
  <c r="AB221" i="1"/>
  <c r="AD221" i="1" s="1"/>
  <c r="X221" i="1"/>
  <c r="T221" i="1"/>
  <c r="S221" i="1"/>
  <c r="Q221" i="1"/>
  <c r="P221" i="1"/>
  <c r="M221" i="1"/>
  <c r="I221" i="1"/>
  <c r="K221" i="1" s="1"/>
  <c r="AR220" i="1"/>
  <c r="AQ220" i="1"/>
  <c r="AM220" i="1"/>
  <c r="AG220" i="1" s="1"/>
  <c r="AI220" i="1" s="1"/>
  <c r="AL220" i="1"/>
  <c r="AK220" i="1"/>
  <c r="AH220" i="1"/>
  <c r="AF220" i="1"/>
  <c r="AE220" i="1"/>
  <c r="AC220" i="1"/>
  <c r="AA220" i="1"/>
  <c r="Y220" i="1"/>
  <c r="AB220" i="1" s="1"/>
  <c r="AD220" i="1" s="1"/>
  <c r="T220" i="1"/>
  <c r="S220" i="1"/>
  <c r="Q220" i="1"/>
  <c r="P220" i="1"/>
  <c r="M220" i="1"/>
  <c r="I220" i="1"/>
  <c r="K220" i="1" s="1"/>
  <c r="AR219" i="1"/>
  <c r="AQ219" i="1"/>
  <c r="AS219" i="1" s="1"/>
  <c r="AP219" i="1"/>
  <c r="AM219" i="1"/>
  <c r="AN219" i="1" s="1"/>
  <c r="AO219" i="1" s="1"/>
  <c r="AL219" i="1"/>
  <c r="AK219" i="1"/>
  <c r="AF219" i="1"/>
  <c r="AE219" i="1"/>
  <c r="AD219" i="1"/>
  <c r="AC219" i="1"/>
  <c r="AA219" i="1"/>
  <c r="Y219" i="1"/>
  <c r="AB219" i="1" s="1"/>
  <c r="T219" i="1"/>
  <c r="S219" i="1"/>
  <c r="P219" i="1"/>
  <c r="Q219" i="1" s="1"/>
  <c r="M219" i="1"/>
  <c r="K219" i="1"/>
  <c r="I219" i="1"/>
  <c r="AR218" i="1"/>
  <c r="AP218" i="1"/>
  <c r="AO218" i="1"/>
  <c r="AL218" i="1"/>
  <c r="AM218" i="1" s="1"/>
  <c r="AN218" i="1" s="1"/>
  <c r="AK218" i="1"/>
  <c r="AQ218" i="1" s="1"/>
  <c r="AS218" i="1" s="1"/>
  <c r="AT218" i="1" s="1"/>
  <c r="AG218" i="1"/>
  <c r="AF218" i="1"/>
  <c r="AE218" i="1"/>
  <c r="AB218" i="1"/>
  <c r="AD218" i="1" s="1"/>
  <c r="S218" i="1"/>
  <c r="P218" i="1"/>
  <c r="Q218" i="1" s="1"/>
  <c r="M218" i="1"/>
  <c r="T218" i="1" s="1"/>
  <c r="K218" i="1"/>
  <c r="I218" i="1"/>
  <c r="AR217" i="1"/>
  <c r="AL217" i="1"/>
  <c r="AM217" i="1" s="1"/>
  <c r="AK217" i="1"/>
  <c r="AQ217" i="1" s="1"/>
  <c r="AS217" i="1" s="1"/>
  <c r="AF217" i="1"/>
  <c r="AE217" i="1"/>
  <c r="AB217" i="1"/>
  <c r="AD217" i="1" s="1"/>
  <c r="S217" i="1"/>
  <c r="P217" i="1"/>
  <c r="Q217" i="1" s="1"/>
  <c r="M217" i="1"/>
  <c r="T217" i="1" s="1"/>
  <c r="K217" i="1"/>
  <c r="I217" i="1"/>
  <c r="AS216" i="1"/>
  <c r="AR216" i="1"/>
  <c r="AO216" i="1"/>
  <c r="AL216" i="1"/>
  <c r="AM216" i="1" s="1"/>
  <c r="AN216" i="1" s="1"/>
  <c r="AP216" i="1" s="1"/>
  <c r="AK216" i="1"/>
  <c r="AQ216" i="1" s="1"/>
  <c r="AF216" i="1"/>
  <c r="AE216" i="1"/>
  <c r="AC216" i="1"/>
  <c r="AB216" i="1"/>
  <c r="AD216" i="1" s="1"/>
  <c r="AA216" i="1"/>
  <c r="Y216" i="1"/>
  <c r="S216" i="1"/>
  <c r="Q216" i="1"/>
  <c r="P216" i="1"/>
  <c r="M216" i="1"/>
  <c r="T216" i="1" s="1"/>
  <c r="K216" i="1"/>
  <c r="I216" i="1"/>
  <c r="AS215" i="1"/>
  <c r="AT215" i="1" s="1"/>
  <c r="AR215" i="1"/>
  <c r="AN215" i="1"/>
  <c r="AP215" i="1" s="1"/>
  <c r="AL215" i="1"/>
  <c r="AM215" i="1" s="1"/>
  <c r="AG215" i="1" s="1"/>
  <c r="AH215" i="1" s="1"/>
  <c r="AK215" i="1"/>
  <c r="AQ215" i="1" s="1"/>
  <c r="AF215" i="1"/>
  <c r="AE215" i="1"/>
  <c r="AB215" i="1"/>
  <c r="AD215" i="1" s="1"/>
  <c r="S215" i="1"/>
  <c r="Q215" i="1"/>
  <c r="P215" i="1"/>
  <c r="M215" i="1"/>
  <c r="T215" i="1" s="1"/>
  <c r="K215" i="1"/>
  <c r="I215" i="1"/>
  <c r="AS214" i="1"/>
  <c r="AR214" i="1"/>
  <c r="AL214" i="1"/>
  <c r="AM214" i="1" s="1"/>
  <c r="AG214" i="1" s="1"/>
  <c r="AH214" i="1" s="1"/>
  <c r="AK214" i="1"/>
  <c r="AQ214" i="1" s="1"/>
  <c r="AI214" i="1"/>
  <c r="AF214" i="1"/>
  <c r="AE214" i="1"/>
  <c r="AB214" i="1"/>
  <c r="X214" i="1"/>
  <c r="S214" i="1"/>
  <c r="P214" i="1"/>
  <c r="Q214" i="1" s="1"/>
  <c r="M214" i="1"/>
  <c r="T214" i="1" s="1"/>
  <c r="I214" i="1"/>
  <c r="K214" i="1" s="1"/>
  <c r="AR213" i="1"/>
  <c r="AP213" i="1"/>
  <c r="AO213" i="1"/>
  <c r="AL213" i="1"/>
  <c r="AM213" i="1" s="1"/>
  <c r="AN213" i="1" s="1"/>
  <c r="AK213" i="1"/>
  <c r="AQ213" i="1" s="1"/>
  <c r="AS213" i="1" s="1"/>
  <c r="AT213" i="1" s="1"/>
  <c r="AG213" i="1"/>
  <c r="AF213" i="1"/>
  <c r="AE213" i="1"/>
  <c r="AC213" i="1"/>
  <c r="AB213" i="1"/>
  <c r="AD213" i="1" s="1"/>
  <c r="AA213" i="1"/>
  <c r="Y213" i="1"/>
  <c r="T213" i="1"/>
  <c r="S213" i="1"/>
  <c r="P213" i="1"/>
  <c r="Q213" i="1" s="1"/>
  <c r="M213" i="1"/>
  <c r="K213" i="1"/>
  <c r="I213" i="1"/>
  <c r="AS212" i="1"/>
  <c r="AT212" i="1" s="1"/>
  <c r="AR212" i="1"/>
  <c r="AO212" i="1"/>
  <c r="AN212" i="1"/>
  <c r="AP212" i="1" s="1"/>
  <c r="AM212" i="1"/>
  <c r="AL212" i="1"/>
  <c r="AK212" i="1"/>
  <c r="AQ212" i="1" s="1"/>
  <c r="AI212" i="1"/>
  <c r="AG212" i="1"/>
  <c r="AH212" i="1" s="1"/>
  <c r="AF212" i="1"/>
  <c r="AE212" i="1"/>
  <c r="AB212" i="1"/>
  <c r="X212" i="1"/>
  <c r="AD212" i="1" s="1"/>
  <c r="S212" i="1"/>
  <c r="P212" i="1"/>
  <c r="Q212" i="1" s="1"/>
  <c r="M212" i="1"/>
  <c r="T212" i="1" s="1"/>
  <c r="K212" i="1"/>
  <c r="I212" i="1"/>
  <c r="AR211" i="1"/>
  <c r="AL211" i="1"/>
  <c r="AM211" i="1" s="1"/>
  <c r="AN211" i="1" s="1"/>
  <c r="AP211" i="1" s="1"/>
  <c r="AK211" i="1"/>
  <c r="AQ211" i="1" s="1"/>
  <c r="AS211" i="1" s="1"/>
  <c r="AT211" i="1" s="1"/>
  <c r="AG211" i="1"/>
  <c r="AF211" i="1"/>
  <c r="AE211" i="1"/>
  <c r="AB211" i="1"/>
  <c r="X211" i="1"/>
  <c r="S211" i="1"/>
  <c r="Q211" i="1"/>
  <c r="P211" i="1"/>
  <c r="M211" i="1"/>
  <c r="T211" i="1" s="1"/>
  <c r="I211" i="1"/>
  <c r="K211" i="1" s="1"/>
  <c r="AR210" i="1"/>
  <c r="AQ210" i="1"/>
  <c r="AS210" i="1" s="1"/>
  <c r="AT210" i="1" s="1"/>
  <c r="AM210" i="1"/>
  <c r="AN210" i="1" s="1"/>
  <c r="AO210" i="1" s="1"/>
  <c r="AL210" i="1"/>
  <c r="AK210" i="1"/>
  <c r="AF210" i="1"/>
  <c r="AE210" i="1"/>
  <c r="AC210" i="1"/>
  <c r="AA210" i="1"/>
  <c r="Y210" i="1"/>
  <c r="AB210" i="1" s="1"/>
  <c r="AD210" i="1" s="1"/>
  <c r="T210" i="1"/>
  <c r="S210" i="1"/>
  <c r="P210" i="1"/>
  <c r="Q210" i="1" s="1"/>
  <c r="M210" i="1"/>
  <c r="I210" i="1"/>
  <c r="K210" i="1" s="1"/>
  <c r="AR209" i="1"/>
  <c r="AP209" i="1"/>
  <c r="AO209" i="1"/>
  <c r="AL209" i="1"/>
  <c r="AM209" i="1" s="1"/>
  <c r="AN209" i="1" s="1"/>
  <c r="AK209" i="1"/>
  <c r="AQ209" i="1" s="1"/>
  <c r="AS209" i="1" s="1"/>
  <c r="AT209" i="1" s="1"/>
  <c r="AG209" i="1"/>
  <c r="AF209" i="1"/>
  <c r="AE209" i="1"/>
  <c r="AB209" i="1"/>
  <c r="AD209" i="1" s="1"/>
  <c r="T209" i="1"/>
  <c r="S209" i="1"/>
  <c r="P209" i="1"/>
  <c r="Q209" i="1" s="1"/>
  <c r="M209" i="1"/>
  <c r="I209" i="1"/>
  <c r="K209" i="1" s="1"/>
  <c r="AK208" i="1"/>
  <c r="AF208" i="1"/>
  <c r="AE208" i="1"/>
  <c r="X208" i="1"/>
  <c r="AD208" i="1" s="1"/>
  <c r="P208" i="1"/>
  <c r="Q208" i="1" s="1"/>
  <c r="O208" i="1"/>
  <c r="L208" i="1"/>
  <c r="K208" i="1"/>
  <c r="J208" i="1"/>
  <c r="I208" i="1"/>
  <c r="H208" i="1"/>
  <c r="G208" i="1"/>
  <c r="F208" i="1"/>
  <c r="AL208" i="1" s="1"/>
  <c r="AM208" i="1" s="1"/>
  <c r="AN207" i="1"/>
  <c r="AM207" i="1"/>
  <c r="AG207" i="1" s="1"/>
  <c r="AI207" i="1" s="1"/>
  <c r="AK207" i="1"/>
  <c r="AH207" i="1"/>
  <c r="AF207" i="1"/>
  <c r="AE207" i="1"/>
  <c r="AD207" i="1"/>
  <c r="X207" i="1"/>
  <c r="S207" i="1"/>
  <c r="Q207" i="1"/>
  <c r="P207" i="1"/>
  <c r="O207" i="1"/>
  <c r="M207" i="1"/>
  <c r="T207" i="1" s="1"/>
  <c r="L207" i="1"/>
  <c r="AR207" i="1" s="1"/>
  <c r="K207" i="1"/>
  <c r="J207" i="1"/>
  <c r="I207" i="1"/>
  <c r="H207" i="1"/>
  <c r="G207" i="1"/>
  <c r="AL207" i="1" s="1"/>
  <c r="F207" i="1"/>
  <c r="AR206" i="1"/>
  <c r="AK206" i="1"/>
  <c r="AG206" i="1"/>
  <c r="AF206" i="1"/>
  <c r="AE206" i="1"/>
  <c r="X206" i="1"/>
  <c r="AD206" i="1" s="1"/>
  <c r="T206" i="1"/>
  <c r="S206" i="1"/>
  <c r="P206" i="1"/>
  <c r="Q206" i="1" s="1"/>
  <c r="O206" i="1"/>
  <c r="L206" i="1"/>
  <c r="K206" i="1"/>
  <c r="J206" i="1"/>
  <c r="M206" i="1" s="1"/>
  <c r="I206" i="1"/>
  <c r="H206" i="1"/>
  <c r="G206" i="1"/>
  <c r="F206" i="1"/>
  <c r="AL206" i="1" s="1"/>
  <c r="AM206" i="1" s="1"/>
  <c r="AN206" i="1" s="1"/>
  <c r="AQ205" i="1"/>
  <c r="AK205" i="1"/>
  <c r="AF205" i="1"/>
  <c r="AE205" i="1"/>
  <c r="AD205" i="1"/>
  <c r="X205" i="1"/>
  <c r="O205" i="1"/>
  <c r="P205" i="1" s="1"/>
  <c r="Q205" i="1" s="1"/>
  <c r="L205" i="1"/>
  <c r="S205" i="1" s="1"/>
  <c r="K205" i="1"/>
  <c r="J205" i="1"/>
  <c r="I205" i="1"/>
  <c r="H205" i="1"/>
  <c r="G205" i="1"/>
  <c r="F205" i="1"/>
  <c r="AL205" i="1" s="1"/>
  <c r="AM205" i="1" s="1"/>
  <c r="AK204" i="1"/>
  <c r="AF204" i="1"/>
  <c r="AE204" i="1"/>
  <c r="X204" i="1"/>
  <c r="AD204" i="1" s="1"/>
  <c r="P204" i="1"/>
  <c r="Q204" i="1" s="1"/>
  <c r="O204" i="1"/>
  <c r="L204" i="1"/>
  <c r="K204" i="1"/>
  <c r="J204" i="1"/>
  <c r="I204" i="1"/>
  <c r="H204" i="1"/>
  <c r="G204" i="1"/>
  <c r="F204" i="1"/>
  <c r="AL204" i="1" s="1"/>
  <c r="AM204" i="1" s="1"/>
  <c r="AK203" i="1"/>
  <c r="AF203" i="1"/>
  <c r="AE203" i="1"/>
  <c r="AD203" i="1"/>
  <c r="X203" i="1"/>
  <c r="Q203" i="1"/>
  <c r="P203" i="1"/>
  <c r="O203" i="1"/>
  <c r="M203" i="1"/>
  <c r="T203" i="1" s="1"/>
  <c r="L203" i="1"/>
  <c r="AR203" i="1" s="1"/>
  <c r="K203" i="1"/>
  <c r="J203" i="1"/>
  <c r="I203" i="1"/>
  <c r="H203" i="1"/>
  <c r="G203" i="1"/>
  <c r="AL203" i="1" s="1"/>
  <c r="AM203" i="1" s="1"/>
  <c r="F203" i="1"/>
  <c r="AS202" i="1"/>
  <c r="AR202" i="1"/>
  <c r="AK202" i="1"/>
  <c r="AQ202" i="1" s="1"/>
  <c r="AF202" i="1"/>
  <c r="AE202" i="1"/>
  <c r="X202" i="1"/>
  <c r="AD202" i="1" s="1"/>
  <c r="S202" i="1"/>
  <c r="O202" i="1"/>
  <c r="P202" i="1" s="1"/>
  <c r="Q202" i="1" s="1"/>
  <c r="L202" i="1"/>
  <c r="K202" i="1"/>
  <c r="J202" i="1"/>
  <c r="M202" i="1" s="1"/>
  <c r="T202" i="1" s="1"/>
  <c r="I202" i="1"/>
  <c r="H202" i="1"/>
  <c r="G202" i="1"/>
  <c r="F202" i="1"/>
  <c r="AL202" i="1" s="1"/>
  <c r="AM202" i="1" s="1"/>
  <c r="AT202" i="1" s="1"/>
  <c r="AK201" i="1"/>
  <c r="AF201" i="1"/>
  <c r="AE201" i="1"/>
  <c r="AD201" i="1"/>
  <c r="X201" i="1"/>
  <c r="O201" i="1"/>
  <c r="P201" i="1" s="1"/>
  <c r="Q201" i="1" s="1"/>
  <c r="L201" i="1"/>
  <c r="S201" i="1" s="1"/>
  <c r="K201" i="1"/>
  <c r="J201" i="1"/>
  <c r="I201" i="1"/>
  <c r="H201" i="1"/>
  <c r="G201" i="1"/>
  <c r="F201" i="1"/>
  <c r="AL201" i="1" s="1"/>
  <c r="AM201" i="1" s="1"/>
  <c r="AK200" i="1"/>
  <c r="AF200" i="1"/>
  <c r="AE200" i="1"/>
  <c r="X200" i="1"/>
  <c r="AD200" i="1" s="1"/>
  <c r="P200" i="1"/>
  <c r="Q200" i="1" s="1"/>
  <c r="O200" i="1"/>
  <c r="L200" i="1"/>
  <c r="K200" i="1"/>
  <c r="J200" i="1"/>
  <c r="I200" i="1"/>
  <c r="H200" i="1"/>
  <c r="G200" i="1"/>
  <c r="AL200" i="1" s="1"/>
  <c r="AM200" i="1" s="1"/>
  <c r="AK199" i="1"/>
  <c r="AF199" i="1"/>
  <c r="AE199" i="1"/>
  <c r="AD199" i="1"/>
  <c r="X199" i="1"/>
  <c r="S199" i="1"/>
  <c r="Q199" i="1"/>
  <c r="P199" i="1"/>
  <c r="O199" i="1"/>
  <c r="L199" i="1"/>
  <c r="K199" i="1"/>
  <c r="J199" i="1"/>
  <c r="I199" i="1"/>
  <c r="H199" i="1"/>
  <c r="G199" i="1"/>
  <c r="AQ199" i="1" s="1"/>
  <c r="F199" i="1"/>
  <c r="AR198" i="1"/>
  <c r="AP198" i="1"/>
  <c r="AO198" i="1"/>
  <c r="AN198" i="1"/>
  <c r="AK198" i="1"/>
  <c r="AQ198" i="1" s="1"/>
  <c r="AS198" i="1" s="1"/>
  <c r="AT198" i="1" s="1"/>
  <c r="AI198" i="1"/>
  <c r="AG198" i="1"/>
  <c r="AH198" i="1" s="1"/>
  <c r="AF198" i="1"/>
  <c r="AE198" i="1"/>
  <c r="AD198" i="1"/>
  <c r="X198" i="1"/>
  <c r="T198" i="1"/>
  <c r="S198" i="1"/>
  <c r="P198" i="1"/>
  <c r="Q198" i="1" s="1"/>
  <c r="M198" i="1"/>
  <c r="G198" i="1"/>
  <c r="AL198" i="1" s="1"/>
  <c r="AM198" i="1" s="1"/>
  <c r="AR197" i="1"/>
  <c r="AM197" i="1"/>
  <c r="AK197" i="1"/>
  <c r="AF197" i="1"/>
  <c r="AE197" i="1"/>
  <c r="AD197" i="1"/>
  <c r="X197" i="1"/>
  <c r="S197" i="1"/>
  <c r="Q197" i="1"/>
  <c r="P197" i="1"/>
  <c r="M197" i="1"/>
  <c r="T197" i="1" s="1"/>
  <c r="G197" i="1"/>
  <c r="AL197" i="1" s="1"/>
  <c r="AR196" i="1"/>
  <c r="AK196" i="1"/>
  <c r="AF196" i="1"/>
  <c r="AE196" i="1"/>
  <c r="AD196" i="1"/>
  <c r="X196" i="1"/>
  <c r="T196" i="1"/>
  <c r="S196" i="1"/>
  <c r="P196" i="1"/>
  <c r="Q196" i="1" s="1"/>
  <c r="M196" i="1"/>
  <c r="G196" i="1"/>
  <c r="AR195" i="1"/>
  <c r="AP195" i="1"/>
  <c r="AM195" i="1"/>
  <c r="AN195" i="1" s="1"/>
  <c r="AO195" i="1" s="1"/>
  <c r="AL195" i="1"/>
  <c r="AK195" i="1"/>
  <c r="AQ195" i="1" s="1"/>
  <c r="AS195" i="1" s="1"/>
  <c r="AT195" i="1" s="1"/>
  <c r="AF195" i="1"/>
  <c r="AE195" i="1"/>
  <c r="X195" i="1"/>
  <c r="AD195" i="1" s="1"/>
  <c r="T195" i="1"/>
  <c r="S195" i="1"/>
  <c r="P195" i="1"/>
  <c r="Q195" i="1" s="1"/>
  <c r="M195" i="1"/>
  <c r="G195" i="1"/>
  <c r="AR194" i="1"/>
  <c r="AK194" i="1"/>
  <c r="AF194" i="1"/>
  <c r="AE194" i="1"/>
  <c r="X194" i="1"/>
  <c r="AD194" i="1" s="1"/>
  <c r="T194" i="1"/>
  <c r="S194" i="1"/>
  <c r="Q194" i="1"/>
  <c r="P194" i="1"/>
  <c r="M194" i="1"/>
  <c r="G194" i="1"/>
  <c r="AL194" i="1" s="1"/>
  <c r="AM194" i="1" s="1"/>
  <c r="AR193" i="1"/>
  <c r="AQ193" i="1"/>
  <c r="AM193" i="1"/>
  <c r="AN193" i="1" s="1"/>
  <c r="AK193" i="1"/>
  <c r="AG193" i="1"/>
  <c r="AF193" i="1"/>
  <c r="AE193" i="1"/>
  <c r="AD193" i="1"/>
  <c r="X193" i="1"/>
  <c r="T193" i="1"/>
  <c r="S193" i="1"/>
  <c r="P193" i="1"/>
  <c r="Q193" i="1" s="1"/>
  <c r="M193" i="1"/>
  <c r="G193" i="1"/>
  <c r="AL193" i="1" s="1"/>
  <c r="AR192" i="1"/>
  <c r="AK192" i="1"/>
  <c r="AF192" i="1"/>
  <c r="AE192" i="1"/>
  <c r="AD192" i="1"/>
  <c r="X192" i="1"/>
  <c r="S192" i="1"/>
  <c r="Q192" i="1"/>
  <c r="P192" i="1"/>
  <c r="M192" i="1"/>
  <c r="T192" i="1" s="1"/>
  <c r="L192" i="1"/>
  <c r="G192" i="1"/>
  <c r="AR191" i="1"/>
  <c r="AL191" i="1"/>
  <c r="AM191" i="1" s="1"/>
  <c r="AK191" i="1"/>
  <c r="AQ191" i="1" s="1"/>
  <c r="AS191" i="1" s="1"/>
  <c r="AT191" i="1" s="1"/>
  <c r="AF191" i="1"/>
  <c r="AE191" i="1"/>
  <c r="X191" i="1"/>
  <c r="AD191" i="1" s="1"/>
  <c r="T191" i="1"/>
  <c r="S191" i="1"/>
  <c r="P191" i="1"/>
  <c r="Q191" i="1" s="1"/>
  <c r="M191" i="1"/>
  <c r="L191" i="1"/>
  <c r="G191" i="1"/>
  <c r="AR190" i="1"/>
  <c r="AK190" i="1"/>
  <c r="AQ190" i="1" s="1"/>
  <c r="AS190" i="1" s="1"/>
  <c r="AT190" i="1" s="1"/>
  <c r="AF190" i="1"/>
  <c r="AE190" i="1"/>
  <c r="AD190" i="1"/>
  <c r="X190" i="1"/>
  <c r="T190" i="1"/>
  <c r="S190" i="1"/>
  <c r="Q190" i="1"/>
  <c r="P190" i="1"/>
  <c r="M190" i="1"/>
  <c r="L190" i="1"/>
  <c r="G190" i="1"/>
  <c r="AL190" i="1" s="1"/>
  <c r="AM190" i="1" s="1"/>
  <c r="AR189" i="1"/>
  <c r="AL189" i="1"/>
  <c r="AM189" i="1" s="1"/>
  <c r="AK189" i="1"/>
  <c r="AQ189" i="1" s="1"/>
  <c r="AS189" i="1" s="1"/>
  <c r="AT189" i="1" s="1"/>
  <c r="AF189" i="1"/>
  <c r="AE189" i="1"/>
  <c r="X189" i="1"/>
  <c r="AD189" i="1" s="1"/>
  <c r="T189" i="1"/>
  <c r="S189" i="1"/>
  <c r="Q189" i="1"/>
  <c r="P189" i="1"/>
  <c r="M189" i="1"/>
  <c r="L189" i="1"/>
  <c r="AP188" i="1"/>
  <c r="AL188" i="1"/>
  <c r="AM188" i="1" s="1"/>
  <c r="AN188" i="1" s="1"/>
  <c r="AO188" i="1" s="1"/>
  <c r="AK188" i="1"/>
  <c r="AG188" i="1"/>
  <c r="AF188" i="1"/>
  <c r="AE188" i="1"/>
  <c r="X188" i="1"/>
  <c r="AD188" i="1" s="1"/>
  <c r="Q188" i="1"/>
  <c r="P188" i="1"/>
  <c r="L188" i="1"/>
  <c r="AQ187" i="1"/>
  <c r="AL187" i="1"/>
  <c r="AM187" i="1" s="1"/>
  <c r="AK187" i="1"/>
  <c r="AF187" i="1"/>
  <c r="AE187" i="1"/>
  <c r="X187" i="1"/>
  <c r="AD187" i="1" s="1"/>
  <c r="Q187" i="1"/>
  <c r="P187" i="1"/>
  <c r="M187" i="1"/>
  <c r="T187" i="1" s="1"/>
  <c r="L187" i="1"/>
  <c r="AR187" i="1" s="1"/>
  <c r="AL186" i="1"/>
  <c r="AM186" i="1" s="1"/>
  <c r="AK186" i="1"/>
  <c r="AQ186" i="1" s="1"/>
  <c r="AS186" i="1" s="1"/>
  <c r="AT186" i="1" s="1"/>
  <c r="AF186" i="1"/>
  <c r="AE186" i="1"/>
  <c r="X186" i="1"/>
  <c r="AD186" i="1" s="1"/>
  <c r="P186" i="1"/>
  <c r="Q186" i="1" s="1"/>
  <c r="L186" i="1"/>
  <c r="AR186" i="1" s="1"/>
  <c r="AR185" i="1"/>
  <c r="AM185" i="1"/>
  <c r="AG185" i="1" s="1"/>
  <c r="AH185" i="1" s="1"/>
  <c r="AL185" i="1"/>
  <c r="AK185" i="1"/>
  <c r="AQ185" i="1" s="1"/>
  <c r="AS185" i="1" s="1"/>
  <c r="AT185" i="1" s="1"/>
  <c r="AI185" i="1"/>
  <c r="AF185" i="1"/>
  <c r="AE185" i="1"/>
  <c r="AD185" i="1"/>
  <c r="X185" i="1"/>
  <c r="T185" i="1"/>
  <c r="S185" i="1"/>
  <c r="Q185" i="1"/>
  <c r="P185" i="1"/>
  <c r="M185" i="1"/>
  <c r="L185" i="1"/>
  <c r="AR184" i="1"/>
  <c r="AQ184" i="1"/>
  <c r="AS184" i="1" s="1"/>
  <c r="AT184" i="1" s="1"/>
  <c r="AL184" i="1"/>
  <c r="AM184" i="1" s="1"/>
  <c r="AK184" i="1"/>
  <c r="AF184" i="1"/>
  <c r="AE184" i="1"/>
  <c r="X184" i="1"/>
  <c r="AD184" i="1" s="1"/>
  <c r="S184" i="1"/>
  <c r="Q184" i="1"/>
  <c r="P184" i="1"/>
  <c r="L184" i="1"/>
  <c r="M184" i="1" s="1"/>
  <c r="T184" i="1" s="1"/>
  <c r="AR183" i="1"/>
  <c r="AQ183" i="1"/>
  <c r="AS183" i="1" s="1"/>
  <c r="AT183" i="1" s="1"/>
  <c r="AM183" i="1"/>
  <c r="AN183" i="1" s="1"/>
  <c r="AO183" i="1" s="1"/>
  <c r="AL183" i="1"/>
  <c r="AK183" i="1"/>
  <c r="AG183" i="1"/>
  <c r="AF183" i="1"/>
  <c r="AE183" i="1"/>
  <c r="AD183" i="1"/>
  <c r="X183" i="1"/>
  <c r="T183" i="1"/>
  <c r="S183" i="1"/>
  <c r="P183" i="1"/>
  <c r="Q183" i="1" s="1"/>
  <c r="M183" i="1"/>
  <c r="L183" i="1"/>
  <c r="AR182" i="1"/>
  <c r="AP182" i="1"/>
  <c r="AO182" i="1"/>
  <c r="AL182" i="1"/>
  <c r="AM182" i="1" s="1"/>
  <c r="AN182" i="1" s="1"/>
  <c r="AK182" i="1"/>
  <c r="AQ182" i="1" s="1"/>
  <c r="AS182" i="1" s="1"/>
  <c r="AT182" i="1" s="1"/>
  <c r="AG182" i="1"/>
  <c r="AF182" i="1"/>
  <c r="AE182" i="1"/>
  <c r="X182" i="1"/>
  <c r="AD182" i="1" s="1"/>
  <c r="S182" i="1"/>
  <c r="P182" i="1"/>
  <c r="Q182" i="1" s="1"/>
  <c r="M182" i="1"/>
  <c r="T182" i="1" s="1"/>
  <c r="AR181" i="1"/>
  <c r="AQ181" i="1"/>
  <c r="AM181" i="1"/>
  <c r="AG181" i="1" s="1"/>
  <c r="AH181" i="1" s="1"/>
  <c r="AL181" i="1"/>
  <c r="AK181" i="1"/>
  <c r="AI181" i="1"/>
  <c r="AF181" i="1"/>
  <c r="AE181" i="1"/>
  <c r="AD181" i="1"/>
  <c r="X181" i="1"/>
  <c r="S181" i="1"/>
  <c r="P181" i="1"/>
  <c r="Q181" i="1" s="1"/>
  <c r="M181" i="1"/>
  <c r="T181" i="1" s="1"/>
  <c r="AR180" i="1"/>
  <c r="AL180" i="1"/>
  <c r="AM180" i="1" s="1"/>
  <c r="AN180" i="1" s="1"/>
  <c r="AK180" i="1"/>
  <c r="AQ180" i="1" s="1"/>
  <c r="AS180" i="1" s="1"/>
  <c r="AT180" i="1" s="1"/>
  <c r="AG180" i="1"/>
  <c r="AF180" i="1"/>
  <c r="AE180" i="1"/>
  <c r="X180" i="1"/>
  <c r="AD180" i="1" s="1"/>
  <c r="T180" i="1"/>
  <c r="S180" i="1"/>
  <c r="P180" i="1"/>
  <c r="Q180" i="1" s="1"/>
  <c r="M180" i="1"/>
  <c r="AR179" i="1"/>
  <c r="AQ179" i="1"/>
  <c r="AN179" i="1"/>
  <c r="AL179" i="1"/>
  <c r="AM179" i="1" s="1"/>
  <c r="AG179" i="1" s="1"/>
  <c r="AI179" i="1" s="1"/>
  <c r="AK179" i="1"/>
  <c r="AF179" i="1"/>
  <c r="AE179" i="1"/>
  <c r="X179" i="1"/>
  <c r="AD179" i="1" s="1"/>
  <c r="T179" i="1"/>
  <c r="S179" i="1"/>
  <c r="Q179" i="1"/>
  <c r="P179" i="1"/>
  <c r="M179" i="1"/>
  <c r="AR178" i="1"/>
  <c r="AO178" i="1"/>
  <c r="AL178" i="1"/>
  <c r="AM178" i="1" s="1"/>
  <c r="AN178" i="1" s="1"/>
  <c r="AP178" i="1" s="1"/>
  <c r="AK178" i="1"/>
  <c r="AQ178" i="1" s="1"/>
  <c r="AF178" i="1"/>
  <c r="AE178" i="1"/>
  <c r="X178" i="1"/>
  <c r="AD178" i="1" s="1"/>
  <c r="S178" i="1"/>
  <c r="P178" i="1"/>
  <c r="Q178" i="1" s="1"/>
  <c r="M178" i="1"/>
  <c r="T178" i="1" s="1"/>
  <c r="AR177" i="1"/>
  <c r="AQ177" i="1"/>
  <c r="AS177" i="1" s="1"/>
  <c r="AP177" i="1"/>
  <c r="AN177" i="1"/>
  <c r="AO177" i="1" s="1"/>
  <c r="AM177" i="1"/>
  <c r="AG177" i="1" s="1"/>
  <c r="AI177" i="1" s="1"/>
  <c r="AL177" i="1"/>
  <c r="AK177" i="1"/>
  <c r="AJ177" i="1"/>
  <c r="AE177" i="1"/>
  <c r="AD177" i="1"/>
  <c r="X177" i="1"/>
  <c r="S177" i="1"/>
  <c r="P177" i="1"/>
  <c r="Q177" i="1" s="1"/>
  <c r="M177" i="1"/>
  <c r="T177" i="1" s="1"/>
  <c r="AL176" i="1"/>
  <c r="AK176" i="1"/>
  <c r="AQ176" i="1" s="1"/>
  <c r="AJ176" i="1"/>
  <c r="AR176" i="1" s="1"/>
  <c r="AE176" i="1"/>
  <c r="X176" i="1"/>
  <c r="AD176" i="1" s="1"/>
  <c r="T176" i="1"/>
  <c r="S176" i="1"/>
  <c r="P176" i="1"/>
  <c r="Q176" i="1" s="1"/>
  <c r="M176" i="1"/>
  <c r="AR175" i="1"/>
  <c r="AQ175" i="1"/>
  <c r="AL175" i="1"/>
  <c r="AK175" i="1"/>
  <c r="AJ175" i="1"/>
  <c r="AM175" i="1" s="1"/>
  <c r="AG175" i="1" s="1"/>
  <c r="AH175" i="1" s="1"/>
  <c r="AE175" i="1"/>
  <c r="X175" i="1"/>
  <c r="AD175" i="1" s="1"/>
  <c r="T175" i="1"/>
  <c r="S175" i="1"/>
  <c r="Q175" i="1"/>
  <c r="P175" i="1"/>
  <c r="M175" i="1"/>
  <c r="AR174" i="1"/>
  <c r="AL174" i="1"/>
  <c r="AK174" i="1"/>
  <c r="AQ174" i="1" s="1"/>
  <c r="AJ174" i="1"/>
  <c r="X174" i="1"/>
  <c r="AD174" i="1" s="1"/>
  <c r="S174" i="1"/>
  <c r="P174" i="1"/>
  <c r="Q174" i="1" s="1"/>
  <c r="M174" i="1"/>
  <c r="T174" i="1" s="1"/>
  <c r="AR173" i="1"/>
  <c r="AQ173" i="1"/>
  <c r="AS173" i="1" s="1"/>
  <c r="AM173" i="1"/>
  <c r="AL173" i="1"/>
  <c r="AK173" i="1"/>
  <c r="AJ173" i="1"/>
  <c r="AE173" i="1"/>
  <c r="AD173" i="1"/>
  <c r="X173" i="1"/>
  <c r="S173" i="1"/>
  <c r="P173" i="1"/>
  <c r="Q173" i="1" s="1"/>
  <c r="M173" i="1"/>
  <c r="T173" i="1" s="1"/>
  <c r="AL172" i="1"/>
  <c r="AK172" i="1"/>
  <c r="AQ172" i="1" s="1"/>
  <c r="AS172" i="1" s="1"/>
  <c r="AJ172" i="1"/>
  <c r="AR172" i="1" s="1"/>
  <c r="AE172" i="1"/>
  <c r="X172" i="1"/>
  <c r="AD172" i="1" s="1"/>
  <c r="T172" i="1"/>
  <c r="S172" i="1"/>
  <c r="P172" i="1"/>
  <c r="Q172" i="1" s="1"/>
  <c r="M172" i="1"/>
  <c r="AQ171" i="1"/>
  <c r="AL171" i="1"/>
  <c r="AK171" i="1"/>
  <c r="AJ171" i="1"/>
  <c r="AE171" i="1"/>
  <c r="Z171" i="1"/>
  <c r="AD171" i="1" s="1"/>
  <c r="T171" i="1"/>
  <c r="S171" i="1"/>
  <c r="Q171" i="1"/>
  <c r="P171" i="1"/>
  <c r="M171" i="1"/>
  <c r="AR170" i="1"/>
  <c r="AL170" i="1"/>
  <c r="AK170" i="1"/>
  <c r="AQ170" i="1" s="1"/>
  <c r="AS170" i="1" s="1"/>
  <c r="AJ170" i="1"/>
  <c r="X170" i="1"/>
  <c r="AD170" i="1" s="1"/>
  <c r="S170" i="1"/>
  <c r="P170" i="1"/>
  <c r="Q170" i="1" s="1"/>
  <c r="M170" i="1"/>
  <c r="T170" i="1" s="1"/>
  <c r="AR169" i="1"/>
  <c r="AQ169" i="1"/>
  <c r="AN169" i="1"/>
  <c r="AM169" i="1"/>
  <c r="AG169" i="1" s="1"/>
  <c r="AI169" i="1" s="1"/>
  <c r="AL169" i="1"/>
  <c r="AK169" i="1"/>
  <c r="AJ169" i="1"/>
  <c r="AH169" i="1"/>
  <c r="AE169" i="1"/>
  <c r="AD169" i="1"/>
  <c r="X169" i="1"/>
  <c r="S169" i="1"/>
  <c r="P169" i="1"/>
  <c r="Q169" i="1" s="1"/>
  <c r="M169" i="1"/>
  <c r="T169" i="1" s="1"/>
  <c r="AS168" i="1"/>
  <c r="AT168" i="1" s="1"/>
  <c r="AR168" i="1"/>
  <c r="AN168" i="1"/>
  <c r="AL168" i="1"/>
  <c r="AM168" i="1" s="1"/>
  <c r="AG168" i="1" s="1"/>
  <c r="AK168" i="1"/>
  <c r="AQ168" i="1" s="1"/>
  <c r="AF168" i="1"/>
  <c r="AE168" i="1"/>
  <c r="X168" i="1"/>
  <c r="AD168" i="1" s="1"/>
  <c r="T168" i="1"/>
  <c r="S168" i="1"/>
  <c r="P168" i="1"/>
  <c r="Q168" i="1" s="1"/>
  <c r="M168" i="1"/>
  <c r="AR167" i="1"/>
  <c r="AQ167" i="1"/>
  <c r="AS167" i="1" s="1"/>
  <c r="AT167" i="1" s="1"/>
  <c r="AL167" i="1"/>
  <c r="AM167" i="1" s="1"/>
  <c r="AK167" i="1"/>
  <c r="AF167" i="1"/>
  <c r="AE167" i="1"/>
  <c r="AD167" i="1"/>
  <c r="X167" i="1"/>
  <c r="T167" i="1"/>
  <c r="S167" i="1"/>
  <c r="Q167" i="1"/>
  <c r="P167" i="1"/>
  <c r="M167" i="1"/>
  <c r="AT166" i="1"/>
  <c r="AS166" i="1"/>
  <c r="AR166" i="1"/>
  <c r="AP166" i="1"/>
  <c r="AO166" i="1"/>
  <c r="AL166" i="1"/>
  <c r="AM166" i="1" s="1"/>
  <c r="AN166" i="1" s="1"/>
  <c r="AK166" i="1"/>
  <c r="AQ166" i="1" s="1"/>
  <c r="AG166" i="1"/>
  <c r="AH166" i="1" s="1"/>
  <c r="AF166" i="1"/>
  <c r="AE166" i="1"/>
  <c r="X166" i="1"/>
  <c r="AD166" i="1" s="1"/>
  <c r="T166" i="1"/>
  <c r="S166" i="1"/>
  <c r="P166" i="1"/>
  <c r="Q166" i="1" s="1"/>
  <c r="M166" i="1"/>
  <c r="AR165" i="1"/>
  <c r="AQ165" i="1"/>
  <c r="AN165" i="1"/>
  <c r="AM165" i="1"/>
  <c r="AG165" i="1" s="1"/>
  <c r="AL165" i="1"/>
  <c r="AK165" i="1"/>
  <c r="AF165" i="1"/>
  <c r="AE165" i="1"/>
  <c r="AD165" i="1"/>
  <c r="X165" i="1"/>
  <c r="S165" i="1"/>
  <c r="P165" i="1"/>
  <c r="Q165" i="1" s="1"/>
  <c r="M165" i="1"/>
  <c r="T165" i="1" s="1"/>
  <c r="AS164" i="1"/>
  <c r="AT164" i="1" s="1"/>
  <c r="AR164" i="1"/>
  <c r="AL164" i="1"/>
  <c r="AM164" i="1" s="1"/>
  <c r="AN164" i="1" s="1"/>
  <c r="AK164" i="1"/>
  <c r="AQ164" i="1" s="1"/>
  <c r="AG164" i="1"/>
  <c r="AF164" i="1"/>
  <c r="AE164" i="1"/>
  <c r="X164" i="1"/>
  <c r="AD164" i="1" s="1"/>
  <c r="S164" i="1"/>
  <c r="P164" i="1"/>
  <c r="Q164" i="1" s="1"/>
  <c r="M164" i="1"/>
  <c r="T164" i="1" s="1"/>
  <c r="AL163" i="1"/>
  <c r="AK163" i="1"/>
  <c r="AJ163" i="1"/>
  <c r="AB163" i="1"/>
  <c r="AD163" i="1" s="1"/>
  <c r="X163" i="1"/>
  <c r="S163" i="1"/>
  <c r="Q163" i="1"/>
  <c r="P163" i="1"/>
  <c r="L163" i="1"/>
  <c r="AQ163" i="1" s="1"/>
  <c r="AL162" i="1"/>
  <c r="AK162" i="1"/>
  <c r="AJ162" i="1"/>
  <c r="AM162" i="1" s="1"/>
  <c r="AE162" i="1"/>
  <c r="AD162" i="1"/>
  <c r="AB162" i="1"/>
  <c r="X162" i="1"/>
  <c r="S162" i="1"/>
  <c r="Q162" i="1"/>
  <c r="P162" i="1"/>
  <c r="M162" i="1"/>
  <c r="T162" i="1" s="1"/>
  <c r="L162" i="1"/>
  <c r="AQ162" i="1" s="1"/>
  <c r="AR161" i="1"/>
  <c r="AQ161" i="1"/>
  <c r="AS161" i="1" s="1"/>
  <c r="AT161" i="1" s="1"/>
  <c r="AL161" i="1"/>
  <c r="AM161" i="1" s="1"/>
  <c r="AK161" i="1"/>
  <c r="AF161" i="1"/>
  <c r="AE161" i="1"/>
  <c r="X161" i="1"/>
  <c r="AD161" i="1" s="1"/>
  <c r="T161" i="1"/>
  <c r="S161" i="1"/>
  <c r="P161" i="1"/>
  <c r="Q161" i="1" s="1"/>
  <c r="M161" i="1"/>
  <c r="AR160" i="1"/>
  <c r="AL160" i="1"/>
  <c r="AM160" i="1" s="1"/>
  <c r="AN160" i="1" s="1"/>
  <c r="AK160" i="1"/>
  <c r="AQ160" i="1" s="1"/>
  <c r="AS160" i="1" s="1"/>
  <c r="AT160" i="1" s="1"/>
  <c r="AF160" i="1"/>
  <c r="AE160" i="1"/>
  <c r="X160" i="1"/>
  <c r="AD160" i="1" s="1"/>
  <c r="S160" i="1"/>
  <c r="P160" i="1"/>
  <c r="Q160" i="1" s="1"/>
  <c r="M160" i="1"/>
  <c r="T160" i="1" s="1"/>
  <c r="AR159" i="1"/>
  <c r="AQ159" i="1"/>
  <c r="AL159" i="1"/>
  <c r="AM159" i="1" s="1"/>
  <c r="AK159" i="1"/>
  <c r="AJ159" i="1"/>
  <c r="AE159" i="1" s="1"/>
  <c r="X159" i="1"/>
  <c r="AD159" i="1" s="1"/>
  <c r="S159" i="1"/>
  <c r="Q159" i="1"/>
  <c r="P159" i="1"/>
  <c r="M159" i="1"/>
  <c r="T159" i="1" s="1"/>
  <c r="AL158" i="1"/>
  <c r="AK158" i="1"/>
  <c r="AQ158" i="1" s="1"/>
  <c r="AJ158" i="1"/>
  <c r="AM158" i="1" s="1"/>
  <c r="AG158" i="1" s="1"/>
  <c r="X158" i="1"/>
  <c r="AD158" i="1" s="1"/>
  <c r="S158" i="1"/>
  <c r="P158" i="1"/>
  <c r="Q158" i="1" s="1"/>
  <c r="M158" i="1"/>
  <c r="T158" i="1" s="1"/>
  <c r="AR157" i="1"/>
  <c r="AQ157" i="1"/>
  <c r="AS157" i="1" s="1"/>
  <c r="AL157" i="1"/>
  <c r="AM157" i="1" s="1"/>
  <c r="AK157" i="1"/>
  <c r="AJ157" i="1"/>
  <c r="AE157" i="1"/>
  <c r="AD157" i="1"/>
  <c r="X157" i="1"/>
  <c r="T157" i="1"/>
  <c r="S157" i="1"/>
  <c r="P157" i="1"/>
  <c r="Q157" i="1" s="1"/>
  <c r="M157" i="1"/>
  <c r="AP156" i="1"/>
  <c r="AL156" i="1"/>
  <c r="AK156" i="1"/>
  <c r="AQ156" i="1" s="1"/>
  <c r="AJ156" i="1"/>
  <c r="AM156" i="1" s="1"/>
  <c r="AN156" i="1" s="1"/>
  <c r="AO156" i="1" s="1"/>
  <c r="AE156" i="1"/>
  <c r="X156" i="1"/>
  <c r="AD156" i="1" s="1"/>
  <c r="S156" i="1"/>
  <c r="P156" i="1"/>
  <c r="Q156" i="1" s="1"/>
  <c r="M156" i="1"/>
  <c r="T156" i="1" s="1"/>
  <c r="AQ155" i="1"/>
  <c r="AL155" i="1"/>
  <c r="AK155" i="1"/>
  <c r="AJ155" i="1"/>
  <c r="AM155" i="1" s="1"/>
  <c r="AE155" i="1"/>
  <c r="X155" i="1"/>
  <c r="AD155" i="1" s="1"/>
  <c r="S155" i="1"/>
  <c r="Q155" i="1"/>
  <c r="P155" i="1"/>
  <c r="M155" i="1"/>
  <c r="T155" i="1" s="1"/>
  <c r="AL154" i="1"/>
  <c r="AK154" i="1"/>
  <c r="AQ154" i="1" s="1"/>
  <c r="AJ154" i="1"/>
  <c r="X154" i="1"/>
  <c r="AD154" i="1" s="1"/>
  <c r="S154" i="1"/>
  <c r="P154" i="1"/>
  <c r="Q154" i="1" s="1"/>
  <c r="M154" i="1"/>
  <c r="T154" i="1" s="1"/>
  <c r="AQ153" i="1"/>
  <c r="AL153" i="1"/>
  <c r="AK153" i="1"/>
  <c r="AJ153" i="1"/>
  <c r="AR153" i="1" s="1"/>
  <c r="AD153" i="1"/>
  <c r="X153" i="1"/>
  <c r="T153" i="1"/>
  <c r="S153" i="1"/>
  <c r="Q153" i="1"/>
  <c r="P153" i="1"/>
  <c r="M153" i="1"/>
  <c r="AP152" i="1"/>
  <c r="AL152" i="1"/>
  <c r="AK152" i="1"/>
  <c r="AQ152" i="1" s="1"/>
  <c r="AJ152" i="1"/>
  <c r="AM152" i="1" s="1"/>
  <c r="AN152" i="1" s="1"/>
  <c r="AO152" i="1" s="1"/>
  <c r="AG152" i="1"/>
  <c r="X152" i="1"/>
  <c r="AD152" i="1" s="1"/>
  <c r="S152" i="1"/>
  <c r="Q152" i="1"/>
  <c r="P152" i="1"/>
  <c r="M152" i="1"/>
  <c r="T152" i="1" s="1"/>
  <c r="AQ151" i="1"/>
  <c r="AL151" i="1"/>
  <c r="AK151" i="1"/>
  <c r="AJ151" i="1"/>
  <c r="AR151" i="1" s="1"/>
  <c r="AE151" i="1"/>
  <c r="AD151" i="1"/>
  <c r="X151" i="1"/>
  <c r="S151" i="1"/>
  <c r="Q151" i="1"/>
  <c r="P151" i="1"/>
  <c r="M151" i="1"/>
  <c r="T151" i="1" s="1"/>
  <c r="AL150" i="1"/>
  <c r="AK150" i="1"/>
  <c r="AQ150" i="1" s="1"/>
  <c r="AJ150" i="1"/>
  <c r="AM150" i="1" s="1"/>
  <c r="AE150" i="1"/>
  <c r="AD150" i="1"/>
  <c r="X150" i="1"/>
  <c r="S150" i="1"/>
  <c r="P150" i="1"/>
  <c r="Q150" i="1" s="1"/>
  <c r="M150" i="1"/>
  <c r="T150" i="1" s="1"/>
  <c r="AL149" i="1"/>
  <c r="AK149" i="1"/>
  <c r="AQ149" i="1" s="1"/>
  <c r="AJ149" i="1"/>
  <c r="X149" i="1"/>
  <c r="AD149" i="1" s="1"/>
  <c r="T149" i="1"/>
  <c r="S149" i="1"/>
  <c r="Q149" i="1"/>
  <c r="P149" i="1"/>
  <c r="M149" i="1"/>
  <c r="AR148" i="1"/>
  <c r="AQ148" i="1"/>
  <c r="AS148" i="1" s="1"/>
  <c r="AT148" i="1" s="1"/>
  <c r="AO148" i="1"/>
  <c r="AN148" i="1"/>
  <c r="AP148" i="1" s="1"/>
  <c r="AL148" i="1"/>
  <c r="AK148" i="1"/>
  <c r="AJ148" i="1"/>
  <c r="AM148" i="1" s="1"/>
  <c r="AG148" i="1" s="1"/>
  <c r="AE148" i="1"/>
  <c r="X148" i="1"/>
  <c r="AD148" i="1" s="1"/>
  <c r="S148" i="1"/>
  <c r="P148" i="1"/>
  <c r="Q148" i="1" s="1"/>
  <c r="M148" i="1"/>
  <c r="T148" i="1" s="1"/>
  <c r="AR147" i="1"/>
  <c r="AQ147" i="1"/>
  <c r="AL147" i="1"/>
  <c r="AK147" i="1"/>
  <c r="AJ147" i="1"/>
  <c r="AD147" i="1"/>
  <c r="X147" i="1"/>
  <c r="S147" i="1"/>
  <c r="Q147" i="1"/>
  <c r="P147" i="1"/>
  <c r="M147" i="1"/>
  <c r="T147" i="1" s="1"/>
  <c r="AR146" i="1"/>
  <c r="AS146" i="1" s="1"/>
  <c r="AT146" i="1" s="1"/>
  <c r="AN146" i="1"/>
  <c r="AM146" i="1"/>
  <c r="AG146" i="1" s="1"/>
  <c r="AL146" i="1"/>
  <c r="AK146" i="1"/>
  <c r="AQ146" i="1" s="1"/>
  <c r="AJ146" i="1"/>
  <c r="AE146" i="1" s="1"/>
  <c r="AD146" i="1"/>
  <c r="X146" i="1"/>
  <c r="S146" i="1"/>
  <c r="P146" i="1"/>
  <c r="Q146" i="1" s="1"/>
  <c r="M146" i="1"/>
  <c r="T146" i="1" s="1"/>
  <c r="AR145" i="1"/>
  <c r="AQ145" i="1"/>
  <c r="AS145" i="1" s="1"/>
  <c r="AT145" i="1" s="1"/>
  <c r="AL145" i="1"/>
  <c r="AM145" i="1" s="1"/>
  <c r="AK145" i="1"/>
  <c r="AJ145" i="1"/>
  <c r="AE145" i="1" s="1"/>
  <c r="X145" i="1"/>
  <c r="AD145" i="1" s="1"/>
  <c r="T145" i="1"/>
  <c r="S145" i="1"/>
  <c r="P145" i="1"/>
  <c r="Q145" i="1" s="1"/>
  <c r="M145" i="1"/>
  <c r="AR144" i="1"/>
  <c r="AQ144" i="1"/>
  <c r="AS144" i="1" s="1"/>
  <c r="AL144" i="1"/>
  <c r="AK144" i="1"/>
  <c r="AJ144" i="1"/>
  <c r="AE144" i="1" s="1"/>
  <c r="X144" i="1"/>
  <c r="AD144" i="1" s="1"/>
  <c r="S144" i="1"/>
  <c r="P144" i="1"/>
  <c r="Q144" i="1" s="1"/>
  <c r="M144" i="1"/>
  <c r="T144" i="1" s="1"/>
  <c r="AQ143" i="1"/>
  <c r="AL143" i="1"/>
  <c r="AM143" i="1" s="1"/>
  <c r="AK143" i="1"/>
  <c r="AJ143" i="1"/>
  <c r="AE143" i="1" s="1"/>
  <c r="X143" i="1"/>
  <c r="AD143" i="1" s="1"/>
  <c r="S143" i="1"/>
  <c r="P143" i="1"/>
  <c r="Q143" i="1" s="1"/>
  <c r="M143" i="1"/>
  <c r="T143" i="1" s="1"/>
  <c r="AR142" i="1"/>
  <c r="AS142" i="1" s="1"/>
  <c r="AM142" i="1"/>
  <c r="AL142" i="1"/>
  <c r="AK142" i="1"/>
  <c r="AQ142" i="1" s="1"/>
  <c r="AJ142" i="1"/>
  <c r="AE142" i="1"/>
  <c r="X142" i="1"/>
  <c r="AD142" i="1" s="1"/>
  <c r="T142" i="1"/>
  <c r="S142" i="1"/>
  <c r="P142" i="1"/>
  <c r="Q142" i="1" s="1"/>
  <c r="M142" i="1"/>
  <c r="AQ141" i="1"/>
  <c r="AL141" i="1"/>
  <c r="AK141" i="1"/>
  <c r="AJ141" i="1"/>
  <c r="AM141" i="1" s="1"/>
  <c r="AE141" i="1"/>
  <c r="X141" i="1"/>
  <c r="AD141" i="1" s="1"/>
  <c r="T141" i="1"/>
  <c r="S141" i="1"/>
  <c r="Q141" i="1"/>
  <c r="P141" i="1"/>
  <c r="M141" i="1"/>
  <c r="AR140" i="1"/>
  <c r="AL140" i="1"/>
  <c r="AK140" i="1"/>
  <c r="AQ140" i="1" s="1"/>
  <c r="AS140" i="1" s="1"/>
  <c r="AJ140" i="1"/>
  <c r="AE140" i="1"/>
  <c r="X140" i="1"/>
  <c r="AD140" i="1" s="1"/>
  <c r="T140" i="1"/>
  <c r="S140" i="1"/>
  <c r="P140" i="1"/>
  <c r="Q140" i="1" s="1"/>
  <c r="M140" i="1"/>
  <c r="AQ139" i="1"/>
  <c r="AL139" i="1"/>
  <c r="AK139" i="1"/>
  <c r="AJ139" i="1"/>
  <c r="AE139" i="1" s="1"/>
  <c r="X139" i="1"/>
  <c r="AD139" i="1" s="1"/>
  <c r="S139" i="1"/>
  <c r="Q139" i="1"/>
  <c r="P139" i="1"/>
  <c r="M139" i="1"/>
  <c r="T139" i="1" s="1"/>
  <c r="AR138" i="1"/>
  <c r="AL138" i="1"/>
  <c r="AM138" i="1" s="1"/>
  <c r="AN138" i="1" s="1"/>
  <c r="AK138" i="1"/>
  <c r="AQ138" i="1" s="1"/>
  <c r="AS138" i="1" s="1"/>
  <c r="AT138" i="1" s="1"/>
  <c r="AJ138" i="1"/>
  <c r="AI138" i="1"/>
  <c r="AH138" i="1"/>
  <c r="AF138" i="1"/>
  <c r="AE138" i="1"/>
  <c r="AD138" i="1"/>
  <c r="T138" i="1"/>
  <c r="S138" i="1"/>
  <c r="Q138" i="1"/>
  <c r="P138" i="1"/>
  <c r="M138" i="1"/>
  <c r="AQ137" i="1"/>
  <c r="AL137" i="1"/>
  <c r="AK137" i="1"/>
  <c r="AJ137" i="1"/>
  <c r="AE137" i="1" s="1"/>
  <c r="AI137" i="1"/>
  <c r="AH137" i="1"/>
  <c r="AF137" i="1"/>
  <c r="AD137" i="1"/>
  <c r="S137" i="1"/>
  <c r="Q137" i="1"/>
  <c r="P137" i="1"/>
  <c r="M137" i="1"/>
  <c r="T137" i="1" s="1"/>
  <c r="AK136" i="1"/>
  <c r="AJ136" i="1"/>
  <c r="AR136" i="1" s="1"/>
  <c r="AI136" i="1"/>
  <c r="AH136" i="1"/>
  <c r="AE136" i="1"/>
  <c r="AD136" i="1"/>
  <c r="X136" i="1"/>
  <c r="S136" i="1"/>
  <c r="Q136" i="1"/>
  <c r="P136" i="1"/>
  <c r="L136" i="1"/>
  <c r="M136" i="1" s="1"/>
  <c r="T136" i="1" s="1"/>
  <c r="G136" i="1"/>
  <c r="AR135" i="1"/>
  <c r="AQ135" i="1"/>
  <c r="AK135" i="1"/>
  <c r="AJ135" i="1"/>
  <c r="AF135" i="1" s="1"/>
  <c r="AI135" i="1"/>
  <c r="AH135" i="1"/>
  <c r="AD135" i="1"/>
  <c r="X135" i="1"/>
  <c r="S135" i="1"/>
  <c r="Q135" i="1"/>
  <c r="P135" i="1"/>
  <c r="L135" i="1"/>
  <c r="F135" i="1" s="1"/>
  <c r="G135" i="1"/>
  <c r="AK134" i="1"/>
  <c r="AJ134" i="1"/>
  <c r="AR134" i="1" s="1"/>
  <c r="AI134" i="1"/>
  <c r="AH134" i="1"/>
  <c r="AF134" i="1"/>
  <c r="X134" i="1"/>
  <c r="AD134" i="1" s="1"/>
  <c r="S134" i="1"/>
  <c r="Q134" i="1"/>
  <c r="P134" i="1"/>
  <c r="M134" i="1"/>
  <c r="T134" i="1" s="1"/>
  <c r="L134" i="1"/>
  <c r="G134" i="1" s="1"/>
  <c r="AR133" i="1"/>
  <c r="AO133" i="1"/>
  <c r="AK133" i="1"/>
  <c r="AJ133" i="1"/>
  <c r="AE133" i="1" s="1"/>
  <c r="AI133" i="1"/>
  <c r="AH133" i="1"/>
  <c r="AD133" i="1"/>
  <c r="X133" i="1"/>
  <c r="S133" i="1"/>
  <c r="P133" i="1"/>
  <c r="Q133" i="1" s="1"/>
  <c r="M133" i="1"/>
  <c r="T133" i="1" s="1"/>
  <c r="L133" i="1"/>
  <c r="G133" i="1"/>
  <c r="F133" i="1"/>
  <c r="AL133" i="1" s="1"/>
  <c r="AM133" i="1" s="1"/>
  <c r="AN133" i="1" s="1"/>
  <c r="AP133" i="1" s="1"/>
  <c r="AR132" i="1"/>
  <c r="AQ132" i="1"/>
  <c r="AS132" i="1" s="1"/>
  <c r="AT132" i="1" s="1"/>
  <c r="AM132" i="1"/>
  <c r="AN132" i="1" s="1"/>
  <c r="AL132" i="1"/>
  <c r="AK132" i="1"/>
  <c r="AJ132" i="1"/>
  <c r="AI132" i="1"/>
  <c r="AH132" i="1"/>
  <c r="AF132" i="1"/>
  <c r="AE132" i="1"/>
  <c r="AD132" i="1"/>
  <c r="X132" i="1"/>
  <c r="P132" i="1"/>
  <c r="Q132" i="1" s="1"/>
  <c r="M132" i="1"/>
  <c r="T132" i="1" s="1"/>
  <c r="L132" i="1"/>
  <c r="S132" i="1" s="1"/>
  <c r="AL131" i="1"/>
  <c r="AM131" i="1" s="1"/>
  <c r="AN131" i="1" s="1"/>
  <c r="AK131" i="1"/>
  <c r="AQ131" i="1" s="1"/>
  <c r="AS131" i="1" s="1"/>
  <c r="AT131" i="1" s="1"/>
  <c r="AJ131" i="1"/>
  <c r="AR131" i="1" s="1"/>
  <c r="AI131" i="1"/>
  <c r="AH131" i="1"/>
  <c r="AF131" i="1"/>
  <c r="AE131" i="1"/>
  <c r="X131" i="1"/>
  <c r="AD131" i="1" s="1"/>
  <c r="P131" i="1"/>
  <c r="Q131" i="1" s="1"/>
  <c r="M131" i="1"/>
  <c r="T131" i="1" s="1"/>
  <c r="L131" i="1"/>
  <c r="S131" i="1" s="1"/>
  <c r="AL130" i="1"/>
  <c r="AK130" i="1"/>
  <c r="AQ130" i="1" s="1"/>
  <c r="AS130" i="1" s="1"/>
  <c r="AJ130" i="1"/>
  <c r="AR130" i="1" s="1"/>
  <c r="AI130" i="1"/>
  <c r="AH130" i="1"/>
  <c r="AE130" i="1"/>
  <c r="AD130" i="1"/>
  <c r="X130" i="1"/>
  <c r="P130" i="1"/>
  <c r="Q130" i="1" s="1"/>
  <c r="L130" i="1"/>
  <c r="S130" i="1" s="1"/>
  <c r="AQ129" i="1"/>
  <c r="AL129" i="1"/>
  <c r="AK129" i="1"/>
  <c r="AJ129" i="1"/>
  <c r="AI129" i="1"/>
  <c r="AH129" i="1"/>
  <c r="AD129" i="1"/>
  <c r="X129" i="1"/>
  <c r="S129" i="1"/>
  <c r="Q129" i="1"/>
  <c r="P129" i="1"/>
  <c r="L129" i="1"/>
  <c r="M129" i="1" s="1"/>
  <c r="T129" i="1" s="1"/>
  <c r="AQ128" i="1"/>
  <c r="AK128" i="1"/>
  <c r="AJ128" i="1"/>
  <c r="AF128" i="1" s="1"/>
  <c r="AI128" i="1"/>
  <c r="AH128" i="1"/>
  <c r="AD128" i="1"/>
  <c r="Y128" i="1"/>
  <c r="X128" i="1"/>
  <c r="V128" i="1"/>
  <c r="T128" i="1"/>
  <c r="S128" i="1"/>
  <c r="P128" i="1"/>
  <c r="Q128" i="1" s="1"/>
  <c r="M128" i="1"/>
  <c r="F128" i="1"/>
  <c r="AL128" i="1" s="1"/>
  <c r="AM128" i="1" s="1"/>
  <c r="AN128" i="1" s="1"/>
  <c r="AQ127" i="1"/>
  <c r="AK127" i="1"/>
  <c r="AJ127" i="1"/>
  <c r="AR127" i="1" s="1"/>
  <c r="AD127" i="1"/>
  <c r="Y127" i="1"/>
  <c r="X127" i="1"/>
  <c r="V127" i="1"/>
  <c r="T127" i="1"/>
  <c r="S127" i="1"/>
  <c r="P127" i="1"/>
  <c r="Q127" i="1" s="1"/>
  <c r="M127" i="1"/>
  <c r="F127" i="1"/>
  <c r="AL127" i="1" s="1"/>
  <c r="AK126" i="1"/>
  <c r="AQ126" i="1" s="1"/>
  <c r="AS126" i="1" s="1"/>
  <c r="AJ126" i="1"/>
  <c r="AR126" i="1" s="1"/>
  <c r="Y126" i="1"/>
  <c r="X126" i="1"/>
  <c r="AD126" i="1" s="1"/>
  <c r="V126" i="1"/>
  <c r="AI126" i="1" s="1"/>
  <c r="S126" i="1"/>
  <c r="P126" i="1"/>
  <c r="Q126" i="1" s="1"/>
  <c r="M126" i="1"/>
  <c r="T126" i="1" s="1"/>
  <c r="F126" i="1"/>
  <c r="AL126" i="1" s="1"/>
  <c r="AK125" i="1"/>
  <c r="AJ125" i="1"/>
  <c r="AR125" i="1" s="1"/>
  <c r="AI125" i="1"/>
  <c r="AH125" i="1"/>
  <c r="AF125" i="1"/>
  <c r="AE125" i="1"/>
  <c r="Y125" i="1"/>
  <c r="X125" i="1"/>
  <c r="AD125" i="1" s="1"/>
  <c r="V125" i="1"/>
  <c r="S125" i="1"/>
  <c r="Q125" i="1"/>
  <c r="P125" i="1"/>
  <c r="M125" i="1"/>
  <c r="T125" i="1" s="1"/>
  <c r="F125" i="1"/>
  <c r="AL125" i="1" s="1"/>
  <c r="AM125" i="1" s="1"/>
  <c r="AN125" i="1" s="1"/>
  <c r="AM124" i="1"/>
  <c r="AN124" i="1" s="1"/>
  <c r="AK124" i="1"/>
  <c r="AJ124" i="1"/>
  <c r="AR124" i="1" s="1"/>
  <c r="AI124" i="1"/>
  <c r="AH124" i="1"/>
  <c r="AF124" i="1"/>
  <c r="AE124" i="1"/>
  <c r="AD124" i="1"/>
  <c r="Y124" i="1"/>
  <c r="X124" i="1"/>
  <c r="V124" i="1"/>
  <c r="S124" i="1"/>
  <c r="Q124" i="1"/>
  <c r="P124" i="1"/>
  <c r="M124" i="1"/>
  <c r="T124" i="1" s="1"/>
  <c r="F124" i="1"/>
  <c r="AL124" i="1" s="1"/>
  <c r="AQ123" i="1"/>
  <c r="AK123" i="1"/>
  <c r="AJ123" i="1"/>
  <c r="AR123" i="1" s="1"/>
  <c r="AI123" i="1"/>
  <c r="AE123" i="1"/>
  <c r="AD123" i="1"/>
  <c r="Y123" i="1"/>
  <c r="X123" i="1"/>
  <c r="V123" i="1"/>
  <c r="AH123" i="1" s="1"/>
  <c r="S123" i="1"/>
  <c r="P123" i="1"/>
  <c r="Q123" i="1" s="1"/>
  <c r="M123" i="1"/>
  <c r="T123" i="1" s="1"/>
  <c r="F123" i="1"/>
  <c r="AL123" i="1" s="1"/>
  <c r="AM123" i="1" s="1"/>
  <c r="AN123" i="1" s="1"/>
  <c r="AK122" i="1"/>
  <c r="AQ122" i="1" s="1"/>
  <c r="AJ122" i="1"/>
  <c r="AF122" i="1"/>
  <c r="AE122" i="1"/>
  <c r="Y122" i="1"/>
  <c r="X122" i="1"/>
  <c r="AD122" i="1" s="1"/>
  <c r="V122" i="1"/>
  <c r="AI122" i="1" s="1"/>
  <c r="T122" i="1"/>
  <c r="S122" i="1"/>
  <c r="Q122" i="1"/>
  <c r="P122" i="1"/>
  <c r="M122" i="1"/>
  <c r="F122" i="1"/>
  <c r="AL122" i="1" s="1"/>
  <c r="AK121" i="1"/>
  <c r="AQ121" i="1" s="1"/>
  <c r="AJ121" i="1"/>
  <c r="AE121" i="1" s="1"/>
  <c r="AH121" i="1"/>
  <c r="AF121" i="1"/>
  <c r="Y121" i="1"/>
  <c r="X121" i="1"/>
  <c r="AD121" i="1" s="1"/>
  <c r="V121" i="1"/>
  <c r="AI121" i="1" s="1"/>
  <c r="T121" i="1"/>
  <c r="S121" i="1"/>
  <c r="Q121" i="1"/>
  <c r="P121" i="1"/>
  <c r="M121" i="1"/>
  <c r="F121" i="1"/>
  <c r="AL121" i="1" s="1"/>
  <c r="AP120" i="1"/>
  <c r="AK120" i="1"/>
  <c r="AJ120" i="1"/>
  <c r="AF120" i="1" s="1"/>
  <c r="AI120" i="1"/>
  <c r="AH120" i="1"/>
  <c r="AD120" i="1"/>
  <c r="Y120" i="1"/>
  <c r="X120" i="1"/>
  <c r="V120" i="1"/>
  <c r="T120" i="1"/>
  <c r="S120" i="1"/>
  <c r="P120" i="1"/>
  <c r="Q120" i="1" s="1"/>
  <c r="M120" i="1"/>
  <c r="F120" i="1"/>
  <c r="AL120" i="1" s="1"/>
  <c r="AM120" i="1" s="1"/>
  <c r="AN120" i="1" s="1"/>
  <c r="AO120" i="1" s="1"/>
  <c r="AQ119" i="1"/>
  <c r="AM119" i="1"/>
  <c r="AN119" i="1" s="1"/>
  <c r="AK119" i="1"/>
  <c r="AJ119" i="1"/>
  <c r="AR119" i="1" s="1"/>
  <c r="AD119" i="1"/>
  <c r="Y119" i="1"/>
  <c r="X119" i="1"/>
  <c r="V119" i="1"/>
  <c r="AH119" i="1" s="1"/>
  <c r="T119" i="1"/>
  <c r="S119" i="1"/>
  <c r="P119" i="1"/>
  <c r="Q119" i="1" s="1"/>
  <c r="M119" i="1"/>
  <c r="F119" i="1"/>
  <c r="AL119" i="1" s="1"/>
  <c r="AK118" i="1"/>
  <c r="AQ118" i="1" s="1"/>
  <c r="AJ118" i="1"/>
  <c r="AE118" i="1" s="1"/>
  <c r="Y118" i="1"/>
  <c r="X118" i="1"/>
  <c r="AD118" i="1" s="1"/>
  <c r="V118" i="1"/>
  <c r="S118" i="1"/>
  <c r="P118" i="1"/>
  <c r="Q118" i="1" s="1"/>
  <c r="M118" i="1"/>
  <c r="T118" i="1" s="1"/>
  <c r="F118" i="1"/>
  <c r="AL118" i="1" s="1"/>
  <c r="AL117" i="1"/>
  <c r="AM117" i="1" s="1"/>
  <c r="AN117" i="1" s="1"/>
  <c r="AP117" i="1" s="1"/>
  <c r="AK117" i="1"/>
  <c r="AJ117" i="1"/>
  <c r="AR117" i="1" s="1"/>
  <c r="AI117" i="1"/>
  <c r="AH117" i="1"/>
  <c r="AF117" i="1"/>
  <c r="AE117" i="1"/>
  <c r="Y117" i="1"/>
  <c r="X117" i="1"/>
  <c r="AD117" i="1" s="1"/>
  <c r="V117" i="1"/>
  <c r="S117" i="1"/>
  <c r="Q117" i="1"/>
  <c r="P117" i="1"/>
  <c r="M117" i="1"/>
  <c r="T117" i="1" s="1"/>
  <c r="F117" i="1"/>
  <c r="AL116" i="1"/>
  <c r="AM116" i="1" s="1"/>
  <c r="AN116" i="1" s="1"/>
  <c r="AK116" i="1"/>
  <c r="AJ116" i="1"/>
  <c r="AR116" i="1" s="1"/>
  <c r="AI116" i="1"/>
  <c r="AH116" i="1"/>
  <c r="AF116" i="1"/>
  <c r="AE116" i="1"/>
  <c r="AD116" i="1"/>
  <c r="Y116" i="1"/>
  <c r="X116" i="1"/>
  <c r="V116" i="1"/>
  <c r="S116" i="1"/>
  <c r="Q116" i="1"/>
  <c r="P116" i="1"/>
  <c r="M116" i="1"/>
  <c r="T116" i="1" s="1"/>
  <c r="F116" i="1"/>
  <c r="AQ116" i="1" s="1"/>
  <c r="AQ115" i="1"/>
  <c r="AS115" i="1" s="1"/>
  <c r="AN115" i="1"/>
  <c r="AM115" i="1"/>
  <c r="AK115" i="1"/>
  <c r="AJ115" i="1"/>
  <c r="AR115" i="1" s="1"/>
  <c r="AI115" i="1"/>
  <c r="AE115" i="1"/>
  <c r="AD115" i="1"/>
  <c r="Y115" i="1"/>
  <c r="X115" i="1"/>
  <c r="V115" i="1"/>
  <c r="AH115" i="1" s="1"/>
  <c r="S115" i="1"/>
  <c r="P115" i="1"/>
  <c r="Q115" i="1" s="1"/>
  <c r="M115" i="1"/>
  <c r="T115" i="1" s="1"/>
  <c r="F115" i="1"/>
  <c r="AL115" i="1" s="1"/>
  <c r="AR114" i="1"/>
  <c r="AK114" i="1"/>
  <c r="AQ114" i="1" s="1"/>
  <c r="AJ114" i="1"/>
  <c r="AF114" i="1"/>
  <c r="AE114" i="1"/>
  <c r="Y114" i="1"/>
  <c r="X114" i="1"/>
  <c r="AD114" i="1" s="1"/>
  <c r="V114" i="1"/>
  <c r="T114" i="1"/>
  <c r="S114" i="1"/>
  <c r="P114" i="1"/>
  <c r="Q114" i="1" s="1"/>
  <c r="M114" i="1"/>
  <c r="F114" i="1"/>
  <c r="AL114" i="1" s="1"/>
  <c r="AK113" i="1"/>
  <c r="AQ113" i="1" s="1"/>
  <c r="AJ113" i="1"/>
  <c r="AE113" i="1" s="1"/>
  <c r="AH113" i="1"/>
  <c r="AF113" i="1"/>
  <c r="Y113" i="1"/>
  <c r="X113" i="1"/>
  <c r="AD113" i="1" s="1"/>
  <c r="V113" i="1"/>
  <c r="AI113" i="1" s="1"/>
  <c r="T113" i="1"/>
  <c r="S113" i="1"/>
  <c r="Q113" i="1"/>
  <c r="P113" i="1"/>
  <c r="M113" i="1"/>
  <c r="F113" i="1"/>
  <c r="AL113" i="1" s="1"/>
  <c r="AQ112" i="1"/>
  <c r="AK112" i="1"/>
  <c r="AJ112" i="1"/>
  <c r="AF112" i="1" s="1"/>
  <c r="AI112" i="1"/>
  <c r="AH112" i="1"/>
  <c r="AD112" i="1"/>
  <c r="Y112" i="1"/>
  <c r="X112" i="1"/>
  <c r="V112" i="1"/>
  <c r="T112" i="1"/>
  <c r="S112" i="1"/>
  <c r="P112" i="1"/>
  <c r="Q112" i="1" s="1"/>
  <c r="M112" i="1"/>
  <c r="F112" i="1"/>
  <c r="AL112" i="1" s="1"/>
  <c r="AM112" i="1" s="1"/>
  <c r="AN112" i="1" s="1"/>
  <c r="AR111" i="1"/>
  <c r="AQ111" i="1"/>
  <c r="AK111" i="1"/>
  <c r="AJ111" i="1"/>
  <c r="AI111" i="1"/>
  <c r="AD111" i="1"/>
  <c r="Y111" i="1"/>
  <c r="X111" i="1"/>
  <c r="V111" i="1"/>
  <c r="AH111" i="1" s="1"/>
  <c r="S111" i="1"/>
  <c r="P111" i="1"/>
  <c r="Q111" i="1" s="1"/>
  <c r="M111" i="1"/>
  <c r="T111" i="1" s="1"/>
  <c r="F111" i="1"/>
  <c r="AL111" i="1" s="1"/>
  <c r="AR110" i="1"/>
  <c r="AS110" i="1" s="1"/>
  <c r="AT110" i="1" s="1"/>
  <c r="AK110" i="1"/>
  <c r="AQ110" i="1" s="1"/>
  <c r="AJ110" i="1"/>
  <c r="AM110" i="1" s="1"/>
  <c r="AN110" i="1" s="1"/>
  <c r="AF110" i="1"/>
  <c r="Y110" i="1"/>
  <c r="X110" i="1"/>
  <c r="AD110" i="1" s="1"/>
  <c r="V110" i="1"/>
  <c r="S110" i="1"/>
  <c r="P110" i="1"/>
  <c r="Q110" i="1" s="1"/>
  <c r="M110" i="1"/>
  <c r="T110" i="1" s="1"/>
  <c r="F110" i="1"/>
  <c r="AL110" i="1" s="1"/>
  <c r="AK109" i="1"/>
  <c r="AJ109" i="1"/>
  <c r="AR109" i="1" s="1"/>
  <c r="AI109" i="1"/>
  <c r="AH109" i="1"/>
  <c r="AF109" i="1"/>
  <c r="AE109" i="1"/>
  <c r="Y109" i="1"/>
  <c r="X109" i="1"/>
  <c r="AD109" i="1" s="1"/>
  <c r="V109" i="1"/>
  <c r="S109" i="1"/>
  <c r="Q109" i="1"/>
  <c r="P109" i="1"/>
  <c r="M109" i="1"/>
  <c r="T109" i="1" s="1"/>
  <c r="F109" i="1"/>
  <c r="AL109" i="1" s="1"/>
  <c r="AM109" i="1" s="1"/>
  <c r="AN109" i="1" s="1"/>
  <c r="AK108" i="1"/>
  <c r="AJ108" i="1"/>
  <c r="AR108" i="1" s="1"/>
  <c r="AI108" i="1"/>
  <c r="AH108" i="1"/>
  <c r="AF108" i="1"/>
  <c r="AE108" i="1"/>
  <c r="AD108" i="1"/>
  <c r="Y108" i="1"/>
  <c r="X108" i="1"/>
  <c r="V108" i="1"/>
  <c r="S108" i="1"/>
  <c r="Q108" i="1"/>
  <c r="P108" i="1"/>
  <c r="M108" i="1"/>
  <c r="T108" i="1" s="1"/>
  <c r="F108" i="1"/>
  <c r="AQ108" i="1" s="1"/>
  <c r="AS108" i="1" s="1"/>
  <c r="AQ107" i="1"/>
  <c r="AK107" i="1"/>
  <c r="AJ107" i="1"/>
  <c r="AF107" i="1" s="1"/>
  <c r="AI107" i="1"/>
  <c r="AD107" i="1"/>
  <c r="Y107" i="1"/>
  <c r="X107" i="1"/>
  <c r="V107" i="1"/>
  <c r="AH107" i="1" s="1"/>
  <c r="S107" i="1"/>
  <c r="P107" i="1"/>
  <c r="Q107" i="1" s="1"/>
  <c r="M107" i="1"/>
  <c r="T107" i="1" s="1"/>
  <c r="F107" i="1"/>
  <c r="AL107" i="1" s="1"/>
  <c r="AK106" i="1"/>
  <c r="AQ106" i="1" s="1"/>
  <c r="AJ106" i="1"/>
  <c r="AF106" i="1" s="1"/>
  <c r="Y106" i="1"/>
  <c r="X106" i="1"/>
  <c r="AD106" i="1" s="1"/>
  <c r="V106" i="1"/>
  <c r="T106" i="1"/>
  <c r="S106" i="1"/>
  <c r="Q106" i="1"/>
  <c r="P106" i="1"/>
  <c r="M106" i="1"/>
  <c r="F106" i="1"/>
  <c r="AL106" i="1" s="1"/>
  <c r="AL105" i="1"/>
  <c r="AK105" i="1"/>
  <c r="AQ105" i="1" s="1"/>
  <c r="AJ105" i="1"/>
  <c r="AE105" i="1" s="1"/>
  <c r="AH105" i="1"/>
  <c r="AF105" i="1"/>
  <c r="Y105" i="1"/>
  <c r="X105" i="1"/>
  <c r="AD105" i="1" s="1"/>
  <c r="V105" i="1"/>
  <c r="AI105" i="1" s="1"/>
  <c r="T105" i="1"/>
  <c r="S105" i="1"/>
  <c r="Q105" i="1"/>
  <c r="P105" i="1"/>
  <c r="M105" i="1"/>
  <c r="F105" i="1"/>
  <c r="AL104" i="1"/>
  <c r="AM104" i="1" s="1"/>
  <c r="AN104" i="1" s="1"/>
  <c r="AK104" i="1"/>
  <c r="AJ104" i="1"/>
  <c r="AF104" i="1" s="1"/>
  <c r="AI104" i="1"/>
  <c r="AH104" i="1"/>
  <c r="AD104" i="1"/>
  <c r="Y104" i="1"/>
  <c r="X104" i="1"/>
  <c r="V104" i="1"/>
  <c r="T104" i="1"/>
  <c r="S104" i="1"/>
  <c r="P104" i="1"/>
  <c r="Q104" i="1" s="1"/>
  <c r="M104" i="1"/>
  <c r="F104" i="1"/>
  <c r="AQ104" i="1" s="1"/>
  <c r="AK103" i="1"/>
  <c r="AJ103" i="1"/>
  <c r="AF103" i="1" s="1"/>
  <c r="AI103" i="1"/>
  <c r="AD103" i="1"/>
  <c r="Y103" i="1"/>
  <c r="X103" i="1"/>
  <c r="V103" i="1"/>
  <c r="AH103" i="1" s="1"/>
  <c r="T103" i="1"/>
  <c r="S103" i="1"/>
  <c r="P103" i="1"/>
  <c r="Q103" i="1" s="1"/>
  <c r="M103" i="1"/>
  <c r="F103" i="1"/>
  <c r="AL103" i="1" s="1"/>
  <c r="AM102" i="1"/>
  <c r="AN102" i="1" s="1"/>
  <c r="AK102" i="1"/>
  <c r="AQ102" i="1" s="1"/>
  <c r="AJ102" i="1"/>
  <c r="AR102" i="1" s="1"/>
  <c r="AS102" i="1" s="1"/>
  <c r="AT102" i="1" s="1"/>
  <c r="AF102" i="1"/>
  <c r="AE102" i="1"/>
  <c r="Y102" i="1"/>
  <c r="X102" i="1"/>
  <c r="AD102" i="1" s="1"/>
  <c r="V102" i="1"/>
  <c r="S102" i="1"/>
  <c r="P102" i="1"/>
  <c r="Q102" i="1" s="1"/>
  <c r="M102" i="1"/>
  <c r="T102" i="1" s="1"/>
  <c r="F102" i="1"/>
  <c r="AL102" i="1" s="1"/>
  <c r="AL101" i="1"/>
  <c r="AM101" i="1" s="1"/>
  <c r="AN101" i="1" s="1"/>
  <c r="AK101" i="1"/>
  <c r="AQ101" i="1" s="1"/>
  <c r="AS101" i="1" s="1"/>
  <c r="AT101" i="1" s="1"/>
  <c r="AJ101" i="1"/>
  <c r="AR101" i="1" s="1"/>
  <c r="AI101" i="1"/>
  <c r="AH101" i="1"/>
  <c r="AF101" i="1"/>
  <c r="AE101" i="1"/>
  <c r="Y101" i="1"/>
  <c r="X101" i="1"/>
  <c r="AD101" i="1" s="1"/>
  <c r="V101" i="1"/>
  <c r="S101" i="1"/>
  <c r="P101" i="1"/>
  <c r="Q101" i="1" s="1"/>
  <c r="M101" i="1"/>
  <c r="T101" i="1" s="1"/>
  <c r="F101" i="1"/>
  <c r="AR100" i="1"/>
  <c r="AQ100" i="1"/>
  <c r="AS100" i="1" s="1"/>
  <c r="AL100" i="1"/>
  <c r="AM100" i="1" s="1"/>
  <c r="AN100" i="1" s="1"/>
  <c r="AK100" i="1"/>
  <c r="AG100" i="1"/>
  <c r="AF100" i="1"/>
  <c r="AE100" i="1"/>
  <c r="X100" i="1"/>
  <c r="AD100" i="1" s="1"/>
  <c r="S100" i="1"/>
  <c r="Q100" i="1"/>
  <c r="P100" i="1"/>
  <c r="M100" i="1"/>
  <c r="T100" i="1" s="1"/>
  <c r="AS99" i="1"/>
  <c r="AR99" i="1"/>
  <c r="AM99" i="1"/>
  <c r="AG99" i="1" s="1"/>
  <c r="AH99" i="1" s="1"/>
  <c r="AL99" i="1"/>
  <c r="AK99" i="1"/>
  <c r="AQ99" i="1" s="1"/>
  <c r="AI99" i="1"/>
  <c r="AF99" i="1"/>
  <c r="AE99" i="1"/>
  <c r="AD99" i="1"/>
  <c r="X99" i="1"/>
  <c r="S99" i="1"/>
  <c r="P99" i="1"/>
  <c r="Q99" i="1" s="1"/>
  <c r="M99" i="1"/>
  <c r="T99" i="1" s="1"/>
  <c r="AR98" i="1"/>
  <c r="AL98" i="1"/>
  <c r="AM98" i="1" s="1"/>
  <c r="AK98" i="1"/>
  <c r="AQ98" i="1" s="1"/>
  <c r="AS98" i="1" s="1"/>
  <c r="AT98" i="1" s="1"/>
  <c r="AF98" i="1"/>
  <c r="AE98" i="1"/>
  <c r="AD98" i="1"/>
  <c r="X98" i="1"/>
  <c r="T98" i="1"/>
  <c r="S98" i="1"/>
  <c r="Q98" i="1"/>
  <c r="P98" i="1"/>
  <c r="M98" i="1"/>
  <c r="AR97" i="1"/>
  <c r="AS97" i="1" s="1"/>
  <c r="AT97" i="1" s="1"/>
  <c r="AQ97" i="1"/>
  <c r="AN97" i="1"/>
  <c r="AL97" i="1"/>
  <c r="AM97" i="1" s="1"/>
  <c r="AG97" i="1" s="1"/>
  <c r="AI97" i="1" s="1"/>
  <c r="AK97" i="1"/>
  <c r="AF97" i="1"/>
  <c r="AE97" i="1"/>
  <c r="X97" i="1"/>
  <c r="AD97" i="1" s="1"/>
  <c r="T97" i="1"/>
  <c r="S97" i="1"/>
  <c r="Q97" i="1"/>
  <c r="P97" i="1"/>
  <c r="M97" i="1"/>
  <c r="AR96" i="1"/>
  <c r="AQ96" i="1"/>
  <c r="AS96" i="1" s="1"/>
  <c r="AL96" i="1"/>
  <c r="AM96" i="1" s="1"/>
  <c r="AK96" i="1"/>
  <c r="AF96" i="1"/>
  <c r="AE96" i="1"/>
  <c r="AD96" i="1"/>
  <c r="X96" i="1"/>
  <c r="S96" i="1"/>
  <c r="P96" i="1"/>
  <c r="Q96" i="1" s="1"/>
  <c r="M96" i="1"/>
  <c r="T96" i="1" s="1"/>
  <c r="AR95" i="1"/>
  <c r="AM95" i="1"/>
  <c r="AG95" i="1" s="1"/>
  <c r="AH95" i="1" s="1"/>
  <c r="AL95" i="1"/>
  <c r="AK95" i="1"/>
  <c r="AQ95" i="1" s="1"/>
  <c r="AI95" i="1"/>
  <c r="AF95" i="1"/>
  <c r="AE95" i="1"/>
  <c r="AD95" i="1"/>
  <c r="X95" i="1"/>
  <c r="S95" i="1"/>
  <c r="P95" i="1"/>
  <c r="Q95" i="1" s="1"/>
  <c r="M95" i="1"/>
  <c r="T95" i="1" s="1"/>
  <c r="AS94" i="1"/>
  <c r="AR94" i="1"/>
  <c r="AL94" i="1"/>
  <c r="AM94" i="1" s="1"/>
  <c r="AK94" i="1"/>
  <c r="AQ94" i="1" s="1"/>
  <c r="AF94" i="1"/>
  <c r="AE94" i="1"/>
  <c r="X94" i="1"/>
  <c r="AD94" i="1" s="1"/>
  <c r="T94" i="1"/>
  <c r="S94" i="1"/>
  <c r="Q94" i="1"/>
  <c r="P94" i="1"/>
  <c r="M94" i="1"/>
  <c r="AR93" i="1"/>
  <c r="AQ93" i="1"/>
  <c r="AS93" i="1" s="1"/>
  <c r="AT93" i="1" s="1"/>
  <c r="AN93" i="1"/>
  <c r="AL93" i="1"/>
  <c r="AM93" i="1" s="1"/>
  <c r="AK93" i="1"/>
  <c r="AG93" i="1"/>
  <c r="AF93" i="1"/>
  <c r="AE93" i="1"/>
  <c r="X93" i="1"/>
  <c r="AD93" i="1" s="1"/>
  <c r="S93" i="1"/>
  <c r="P93" i="1"/>
  <c r="Q93" i="1" s="1"/>
  <c r="M93" i="1"/>
  <c r="T93" i="1" s="1"/>
  <c r="AR92" i="1"/>
  <c r="AQ92" i="1"/>
  <c r="AS92" i="1" s="1"/>
  <c r="AT92" i="1" s="1"/>
  <c r="AL92" i="1"/>
  <c r="AM92" i="1" s="1"/>
  <c r="AK92" i="1"/>
  <c r="AF92" i="1"/>
  <c r="AE92" i="1"/>
  <c r="X92" i="1"/>
  <c r="AD92" i="1" s="1"/>
  <c r="S92" i="1"/>
  <c r="P92" i="1"/>
  <c r="Q92" i="1" s="1"/>
  <c r="M92" i="1"/>
  <c r="T92" i="1" s="1"/>
  <c r="AR91" i="1"/>
  <c r="AM91" i="1"/>
  <c r="AL91" i="1"/>
  <c r="AK91" i="1"/>
  <c r="AQ91" i="1" s="1"/>
  <c r="AS91" i="1" s="1"/>
  <c r="AT91" i="1" s="1"/>
  <c r="AF91" i="1"/>
  <c r="AE91" i="1"/>
  <c r="X91" i="1"/>
  <c r="AD91" i="1" s="1"/>
  <c r="T91" i="1"/>
  <c r="S91" i="1"/>
  <c r="P91" i="1"/>
  <c r="Q91" i="1" s="1"/>
  <c r="M91" i="1"/>
  <c r="AR90" i="1"/>
  <c r="AQ90" i="1"/>
  <c r="AS90" i="1" s="1"/>
  <c r="AT90" i="1" s="1"/>
  <c r="AL90" i="1"/>
  <c r="AM90" i="1" s="1"/>
  <c r="AN90" i="1" s="1"/>
  <c r="AK90" i="1"/>
  <c r="AF90" i="1"/>
  <c r="AE90" i="1"/>
  <c r="X90" i="1"/>
  <c r="AD90" i="1" s="1"/>
  <c r="T90" i="1"/>
  <c r="S90" i="1"/>
  <c r="P90" i="1"/>
  <c r="Q90" i="1" s="1"/>
  <c r="M90" i="1"/>
  <c r="AR89" i="1"/>
  <c r="AQ89" i="1"/>
  <c r="AS89" i="1" s="1"/>
  <c r="AL89" i="1"/>
  <c r="AK89" i="1"/>
  <c r="AJ89" i="1"/>
  <c r="AE89" i="1"/>
  <c r="X89" i="1"/>
  <c r="AD89" i="1" s="1"/>
  <c r="S89" i="1"/>
  <c r="P89" i="1"/>
  <c r="Q89" i="1" s="1"/>
  <c r="M89" i="1"/>
  <c r="T89" i="1" s="1"/>
  <c r="G89" i="1"/>
  <c r="AR88" i="1"/>
  <c r="AQ88" i="1"/>
  <c r="AM88" i="1"/>
  <c r="AK88" i="1"/>
  <c r="AJ88" i="1"/>
  <c r="AE88" i="1" s="1"/>
  <c r="AD88" i="1"/>
  <c r="X88" i="1"/>
  <c r="T88" i="1"/>
  <c r="S88" i="1"/>
  <c r="Q88" i="1"/>
  <c r="P88" i="1"/>
  <c r="M88" i="1"/>
  <c r="G88" i="1"/>
  <c r="AL88" i="1" s="1"/>
  <c r="AR87" i="1"/>
  <c r="AK87" i="1"/>
  <c r="AJ87" i="1"/>
  <c r="X87" i="1"/>
  <c r="AD87" i="1" s="1"/>
  <c r="S87" i="1"/>
  <c r="Q87" i="1"/>
  <c r="P87" i="1"/>
  <c r="M87" i="1"/>
  <c r="T87" i="1" s="1"/>
  <c r="G87" i="1"/>
  <c r="AM86" i="1"/>
  <c r="AN86" i="1" s="1"/>
  <c r="AP86" i="1" s="1"/>
  <c r="AK86" i="1"/>
  <c r="AJ86" i="1"/>
  <c r="AI86" i="1"/>
  <c r="AH86" i="1"/>
  <c r="AF86" i="1"/>
  <c r="AE86" i="1"/>
  <c r="AA86" i="1"/>
  <c r="X86" i="1"/>
  <c r="AD86" i="1" s="1"/>
  <c r="O86" i="1"/>
  <c r="P86" i="1" s="1"/>
  <c r="L86" i="1"/>
  <c r="M86" i="1" s="1"/>
  <c r="T86" i="1" s="1"/>
  <c r="K86" i="1"/>
  <c r="F86" i="1"/>
  <c r="G86" i="1" s="1"/>
  <c r="AK85" i="1"/>
  <c r="AJ85" i="1"/>
  <c r="AR85" i="1" s="1"/>
  <c r="AI85" i="1"/>
  <c r="AH85" i="1"/>
  <c r="AE85" i="1"/>
  <c r="AA85" i="1"/>
  <c r="X85" i="1"/>
  <c r="AD85" i="1" s="1"/>
  <c r="O85" i="1"/>
  <c r="P85" i="1" s="1"/>
  <c r="L85" i="1"/>
  <c r="K85" i="1"/>
  <c r="AK84" i="1"/>
  <c r="AJ84" i="1"/>
  <c r="AE84" i="1" s="1"/>
  <c r="AI84" i="1"/>
  <c r="AH84" i="1"/>
  <c r="AD84" i="1"/>
  <c r="AA84" i="1"/>
  <c r="X84" i="1"/>
  <c r="T84" i="1"/>
  <c r="P84" i="1"/>
  <c r="O84" i="1"/>
  <c r="M84" i="1"/>
  <c r="L84" i="1"/>
  <c r="K84" i="1"/>
  <c r="F84" i="1"/>
  <c r="G84" i="1" s="1"/>
  <c r="AK83" i="1"/>
  <c r="AJ83" i="1"/>
  <c r="AI83" i="1"/>
  <c r="AH83" i="1"/>
  <c r="AE83" i="1"/>
  <c r="AA83" i="1"/>
  <c r="X83" i="1"/>
  <c r="AD83" i="1" s="1"/>
  <c r="P83" i="1"/>
  <c r="O83" i="1"/>
  <c r="L83" i="1"/>
  <c r="M83" i="1" s="1"/>
  <c r="T83" i="1" s="1"/>
  <c r="K83" i="1"/>
  <c r="F83" i="1"/>
  <c r="AM82" i="1"/>
  <c r="AN82" i="1" s="1"/>
  <c r="AP82" i="1" s="1"/>
  <c r="AK82" i="1"/>
  <c r="AJ82" i="1"/>
  <c r="AI82" i="1"/>
  <c r="AH82" i="1"/>
  <c r="AF82" i="1"/>
  <c r="AE82" i="1"/>
  <c r="AA82" i="1"/>
  <c r="X82" i="1"/>
  <c r="AD82" i="1" s="1"/>
  <c r="O82" i="1"/>
  <c r="P82" i="1" s="1"/>
  <c r="M82" i="1"/>
  <c r="T82" i="1" s="1"/>
  <c r="L82" i="1"/>
  <c r="K82" i="1"/>
  <c r="G82" i="1"/>
  <c r="AL82" i="1" s="1"/>
  <c r="F82" i="1"/>
  <c r="AN81" i="1"/>
  <c r="AM81" i="1"/>
  <c r="AK81" i="1"/>
  <c r="AJ81" i="1"/>
  <c r="AI81" i="1"/>
  <c r="AH81" i="1"/>
  <c r="AE81" i="1"/>
  <c r="AD81" i="1"/>
  <c r="AA81" i="1"/>
  <c r="X81" i="1"/>
  <c r="P81" i="1"/>
  <c r="O81" i="1"/>
  <c r="L81" i="1"/>
  <c r="K81" i="1"/>
  <c r="AK80" i="1"/>
  <c r="AJ80" i="1"/>
  <c r="AE80" i="1" s="1"/>
  <c r="AI80" i="1"/>
  <c r="AH80" i="1"/>
  <c r="AF80" i="1"/>
  <c r="AA80" i="1"/>
  <c r="X80" i="1"/>
  <c r="AD80" i="1" s="1"/>
  <c r="O80" i="1"/>
  <c r="P80" i="1" s="1"/>
  <c r="M80" i="1"/>
  <c r="T80" i="1" s="1"/>
  <c r="L80" i="1"/>
  <c r="K80" i="1"/>
  <c r="F80" i="1"/>
  <c r="AR79" i="1"/>
  <c r="AM79" i="1"/>
  <c r="AN79" i="1" s="1"/>
  <c r="AK79" i="1"/>
  <c r="AJ79" i="1"/>
  <c r="AI79" i="1"/>
  <c r="AH79" i="1"/>
  <c r="AD79" i="1"/>
  <c r="AA79" i="1"/>
  <c r="X79" i="1"/>
  <c r="T79" i="1"/>
  <c r="P79" i="1"/>
  <c r="O79" i="1"/>
  <c r="L79" i="1"/>
  <c r="M79" i="1" s="1"/>
  <c r="K79" i="1"/>
  <c r="AM78" i="1"/>
  <c r="AN78" i="1" s="1"/>
  <c r="AP78" i="1" s="1"/>
  <c r="AL78" i="1"/>
  <c r="AK78" i="1"/>
  <c r="AJ78" i="1"/>
  <c r="AR78" i="1" s="1"/>
  <c r="AI78" i="1"/>
  <c r="AH78" i="1"/>
  <c r="AF78" i="1"/>
  <c r="AE78" i="1"/>
  <c r="AA78" i="1"/>
  <c r="X78" i="1"/>
  <c r="AD78" i="1" s="1"/>
  <c r="O78" i="1"/>
  <c r="P78" i="1" s="1"/>
  <c r="M78" i="1"/>
  <c r="T78" i="1" s="1"/>
  <c r="L78" i="1"/>
  <c r="K78" i="1"/>
  <c r="G78" i="1"/>
  <c r="F78" i="1"/>
  <c r="AN77" i="1"/>
  <c r="AM77" i="1"/>
  <c r="AK77" i="1"/>
  <c r="AJ77" i="1"/>
  <c r="AI77" i="1"/>
  <c r="AH77" i="1"/>
  <c r="AE77" i="1"/>
  <c r="AD77" i="1"/>
  <c r="AA77" i="1"/>
  <c r="X77" i="1"/>
  <c r="P77" i="1"/>
  <c r="O77" i="1"/>
  <c r="L77" i="1"/>
  <c r="K77" i="1"/>
  <c r="AK76" i="1"/>
  <c r="AJ76" i="1"/>
  <c r="AE76" i="1" s="1"/>
  <c r="AI76" i="1"/>
  <c r="AH76" i="1"/>
  <c r="AF76" i="1"/>
  <c r="AA76" i="1"/>
  <c r="X76" i="1"/>
  <c r="AD76" i="1" s="1"/>
  <c r="O76" i="1"/>
  <c r="P76" i="1" s="1"/>
  <c r="M76" i="1"/>
  <c r="T76" i="1" s="1"/>
  <c r="L76" i="1"/>
  <c r="K76" i="1"/>
  <c r="F76" i="1"/>
  <c r="AK75" i="1"/>
  <c r="AJ75" i="1"/>
  <c r="AI75" i="1"/>
  <c r="AH75" i="1"/>
  <c r="AD75" i="1"/>
  <c r="AA75" i="1"/>
  <c r="X75" i="1"/>
  <c r="P75" i="1"/>
  <c r="O75" i="1"/>
  <c r="L75" i="1"/>
  <c r="M75" i="1" s="1"/>
  <c r="T75" i="1" s="1"/>
  <c r="K75" i="1"/>
  <c r="F75" i="1"/>
  <c r="AM74" i="1"/>
  <c r="AN74" i="1" s="1"/>
  <c r="AP74" i="1" s="1"/>
  <c r="AL74" i="1"/>
  <c r="AK74" i="1"/>
  <c r="AQ74" i="1" s="1"/>
  <c r="AJ74" i="1"/>
  <c r="AR74" i="1" s="1"/>
  <c r="AI74" i="1"/>
  <c r="AH74" i="1"/>
  <c r="AF74" i="1"/>
  <c r="AE74" i="1"/>
  <c r="AA74" i="1"/>
  <c r="X74" i="1"/>
  <c r="AD74" i="1" s="1"/>
  <c r="O74" i="1"/>
  <c r="P74" i="1" s="1"/>
  <c r="M74" i="1"/>
  <c r="T74" i="1" s="1"/>
  <c r="L74" i="1"/>
  <c r="K74" i="1"/>
  <c r="G74" i="1"/>
  <c r="F74" i="1"/>
  <c r="AN73" i="1"/>
  <c r="AM73" i="1"/>
  <c r="AK73" i="1"/>
  <c r="AJ73" i="1"/>
  <c r="AI73" i="1"/>
  <c r="AH73" i="1"/>
  <c r="AF73" i="1"/>
  <c r="AE73" i="1"/>
  <c r="AD73" i="1"/>
  <c r="AA73" i="1"/>
  <c r="X73" i="1"/>
  <c r="P73" i="1"/>
  <c r="O73" i="1"/>
  <c r="L73" i="1"/>
  <c r="K73" i="1"/>
  <c r="AK72" i="1"/>
  <c r="AJ72" i="1"/>
  <c r="AE72" i="1" s="1"/>
  <c r="AI72" i="1"/>
  <c r="AH72" i="1"/>
  <c r="AF72" i="1"/>
  <c r="AA72" i="1"/>
  <c r="X72" i="1"/>
  <c r="AD72" i="1" s="1"/>
  <c r="O72" i="1"/>
  <c r="P72" i="1" s="1"/>
  <c r="M72" i="1"/>
  <c r="T72" i="1" s="1"/>
  <c r="L72" i="1"/>
  <c r="K72" i="1"/>
  <c r="F72" i="1"/>
  <c r="AK71" i="1"/>
  <c r="AJ71" i="1"/>
  <c r="AI71" i="1"/>
  <c r="AH71" i="1"/>
  <c r="AD71" i="1"/>
  <c r="AA71" i="1"/>
  <c r="X71" i="1"/>
  <c r="P71" i="1"/>
  <c r="O71" i="1"/>
  <c r="L71" i="1"/>
  <c r="M71" i="1" s="1"/>
  <c r="T71" i="1" s="1"/>
  <c r="K71" i="1"/>
  <c r="F71" i="1"/>
  <c r="AM70" i="1"/>
  <c r="AN70" i="1" s="1"/>
  <c r="AP70" i="1" s="1"/>
  <c r="AK70" i="1"/>
  <c r="AJ70" i="1"/>
  <c r="AR70" i="1" s="1"/>
  <c r="AI70" i="1"/>
  <c r="AH70" i="1"/>
  <c r="AF70" i="1"/>
  <c r="AE70" i="1"/>
  <c r="AA70" i="1"/>
  <c r="X70" i="1"/>
  <c r="AD70" i="1" s="1"/>
  <c r="O70" i="1"/>
  <c r="P70" i="1" s="1"/>
  <c r="M70" i="1"/>
  <c r="T70" i="1" s="1"/>
  <c r="L70" i="1"/>
  <c r="K70" i="1"/>
  <c r="G70" i="1"/>
  <c r="AL70" i="1" s="1"/>
  <c r="F70" i="1"/>
  <c r="AN69" i="1"/>
  <c r="AM69" i="1"/>
  <c r="AK69" i="1"/>
  <c r="AJ69" i="1"/>
  <c r="AR69" i="1" s="1"/>
  <c r="AI69" i="1"/>
  <c r="AH69" i="1"/>
  <c r="AF69" i="1"/>
  <c r="AE69" i="1"/>
  <c r="AD69" i="1"/>
  <c r="AA69" i="1"/>
  <c r="X69" i="1"/>
  <c r="P69" i="1"/>
  <c r="O69" i="1"/>
  <c r="L69" i="1"/>
  <c r="K69" i="1"/>
  <c r="AK68" i="1"/>
  <c r="AJ68" i="1"/>
  <c r="AE68" i="1" s="1"/>
  <c r="AI68" i="1"/>
  <c r="AH68" i="1"/>
  <c r="AF68" i="1"/>
  <c r="AA68" i="1"/>
  <c r="X68" i="1"/>
  <c r="AD68" i="1" s="1"/>
  <c r="O68" i="1"/>
  <c r="P68" i="1" s="1"/>
  <c r="M68" i="1"/>
  <c r="T68" i="1" s="1"/>
  <c r="L68" i="1"/>
  <c r="K68" i="1"/>
  <c r="F68" i="1"/>
  <c r="AR67" i="1"/>
  <c r="AJ67" i="1"/>
  <c r="AI67" i="1"/>
  <c r="AH67" i="1"/>
  <c r="AD67" i="1"/>
  <c r="AA67" i="1"/>
  <c r="X67" i="1"/>
  <c r="T67" i="1"/>
  <c r="O67" i="1"/>
  <c r="P67" i="1" s="1"/>
  <c r="Q67" i="1" s="1"/>
  <c r="L67" i="1"/>
  <c r="M67" i="1" s="1"/>
  <c r="K67" i="1"/>
  <c r="F67" i="1"/>
  <c r="G67" i="1" s="1"/>
  <c r="D67" i="1"/>
  <c r="AL67" i="1" s="1"/>
  <c r="AJ66" i="1"/>
  <c r="AR66" i="1" s="1"/>
  <c r="AI66" i="1"/>
  <c r="AH66" i="1"/>
  <c r="AF66" i="1"/>
  <c r="AE66" i="1"/>
  <c r="AD66" i="1"/>
  <c r="AA66" i="1"/>
  <c r="X66" i="1"/>
  <c r="Q66" i="1"/>
  <c r="O66" i="1"/>
  <c r="P66" i="1" s="1"/>
  <c r="M66" i="1"/>
  <c r="T66" i="1" s="1"/>
  <c r="L66" i="1"/>
  <c r="F66" i="1" s="1"/>
  <c r="G66" i="1" s="1"/>
  <c r="K66" i="1"/>
  <c r="D66" i="1"/>
  <c r="AR65" i="1"/>
  <c r="AJ65" i="1"/>
  <c r="AI65" i="1"/>
  <c r="AH65" i="1"/>
  <c r="AD65" i="1"/>
  <c r="AA65" i="1"/>
  <c r="X65" i="1"/>
  <c r="T65" i="1"/>
  <c r="O65" i="1"/>
  <c r="P65" i="1" s="1"/>
  <c r="Q65" i="1" s="1"/>
  <c r="L65" i="1"/>
  <c r="M65" i="1" s="1"/>
  <c r="K65" i="1"/>
  <c r="D65" i="1"/>
  <c r="AJ64" i="1"/>
  <c r="AR64" i="1" s="1"/>
  <c r="AI64" i="1"/>
  <c r="AH64" i="1"/>
  <c r="AF64" i="1"/>
  <c r="AE64" i="1"/>
  <c r="AD64" i="1"/>
  <c r="AA64" i="1"/>
  <c r="X64" i="1"/>
  <c r="Q64" i="1"/>
  <c r="O64" i="1"/>
  <c r="P64" i="1" s="1"/>
  <c r="M64" i="1"/>
  <c r="T64" i="1" s="1"/>
  <c r="L64" i="1"/>
  <c r="F64" i="1" s="1"/>
  <c r="G64" i="1" s="1"/>
  <c r="K64" i="1"/>
  <c r="D64" i="1"/>
  <c r="AJ63" i="1"/>
  <c r="AI63" i="1"/>
  <c r="AH63" i="1"/>
  <c r="AD63" i="1"/>
  <c r="AA63" i="1"/>
  <c r="X63" i="1"/>
  <c r="O63" i="1"/>
  <c r="P63" i="1" s="1"/>
  <c r="Q63" i="1" s="1"/>
  <c r="L63" i="1"/>
  <c r="M63" i="1" s="1"/>
  <c r="T63" i="1" s="1"/>
  <c r="K63" i="1"/>
  <c r="D63" i="1"/>
  <c r="AJ62" i="1"/>
  <c r="AR62" i="1" s="1"/>
  <c r="AI62" i="1"/>
  <c r="AH62" i="1"/>
  <c r="AF62" i="1"/>
  <c r="AE62" i="1"/>
  <c r="AD62" i="1"/>
  <c r="AA62" i="1"/>
  <c r="X62" i="1"/>
  <c r="O62" i="1"/>
  <c r="P62" i="1" s="1"/>
  <c r="Q62" i="1" s="1"/>
  <c r="M62" i="1"/>
  <c r="T62" i="1" s="1"/>
  <c r="L62" i="1"/>
  <c r="F62" i="1" s="1"/>
  <c r="G62" i="1" s="1"/>
  <c r="K62" i="1"/>
  <c r="D62" i="1"/>
  <c r="AJ61" i="1"/>
  <c r="AI61" i="1"/>
  <c r="AH61" i="1"/>
  <c r="AD61" i="1"/>
  <c r="AA61" i="1"/>
  <c r="X61" i="1"/>
  <c r="O61" i="1"/>
  <c r="P61" i="1" s="1"/>
  <c r="Q61" i="1" s="1"/>
  <c r="L61" i="1"/>
  <c r="M61" i="1" s="1"/>
  <c r="T61" i="1" s="1"/>
  <c r="K61" i="1"/>
  <c r="F61" i="1"/>
  <c r="G61" i="1" s="1"/>
  <c r="D61" i="1"/>
  <c r="AJ60" i="1"/>
  <c r="AR60" i="1" s="1"/>
  <c r="AI60" i="1"/>
  <c r="AH60" i="1"/>
  <c r="AF60" i="1"/>
  <c r="AE60" i="1"/>
  <c r="AD60" i="1"/>
  <c r="AA60" i="1"/>
  <c r="X60" i="1"/>
  <c r="O60" i="1"/>
  <c r="P60" i="1" s="1"/>
  <c r="Q60" i="1" s="1"/>
  <c r="M60" i="1"/>
  <c r="T60" i="1" s="1"/>
  <c r="L60" i="1"/>
  <c r="F60" i="1" s="1"/>
  <c r="G60" i="1" s="1"/>
  <c r="K60" i="1"/>
  <c r="D60" i="1"/>
  <c r="AR59" i="1"/>
  <c r="AJ59" i="1"/>
  <c r="AI59" i="1"/>
  <c r="AH59" i="1"/>
  <c r="AD59" i="1"/>
  <c r="AA59" i="1"/>
  <c r="X59" i="1"/>
  <c r="T59" i="1"/>
  <c r="O59" i="1"/>
  <c r="P59" i="1" s="1"/>
  <c r="Q59" i="1" s="1"/>
  <c r="L59" i="1"/>
  <c r="M59" i="1" s="1"/>
  <c r="K59" i="1"/>
  <c r="F59" i="1"/>
  <c r="G59" i="1" s="1"/>
  <c r="D59" i="1"/>
  <c r="AL59" i="1" s="1"/>
  <c r="AJ58" i="1"/>
  <c r="AR58" i="1" s="1"/>
  <c r="AI58" i="1"/>
  <c r="AH58" i="1"/>
  <c r="AF58" i="1"/>
  <c r="AE58" i="1"/>
  <c r="AD58" i="1"/>
  <c r="AA58" i="1"/>
  <c r="X58" i="1"/>
  <c r="Q58" i="1"/>
  <c r="O58" i="1"/>
  <c r="P58" i="1" s="1"/>
  <c r="M58" i="1"/>
  <c r="T58" i="1" s="1"/>
  <c r="L58" i="1"/>
  <c r="F58" i="1" s="1"/>
  <c r="G58" i="1" s="1"/>
  <c r="K58" i="1"/>
  <c r="D58" i="1"/>
  <c r="AR57" i="1"/>
  <c r="AQ57" i="1"/>
  <c r="AM57" i="1"/>
  <c r="AL57" i="1"/>
  <c r="AK57" i="1"/>
  <c r="AJ57" i="1"/>
  <c r="AE57" i="1" s="1"/>
  <c r="AD57" i="1"/>
  <c r="X57" i="1"/>
  <c r="T57" i="1"/>
  <c r="S57" i="1"/>
  <c r="Q57" i="1"/>
  <c r="P57" i="1"/>
  <c r="M57" i="1"/>
  <c r="AL56" i="1"/>
  <c r="AK56" i="1"/>
  <c r="AQ56" i="1" s="1"/>
  <c r="AJ56" i="1"/>
  <c r="AE56" i="1" s="1"/>
  <c r="X56" i="1"/>
  <c r="AD56" i="1" s="1"/>
  <c r="T56" i="1"/>
  <c r="S56" i="1"/>
  <c r="P56" i="1"/>
  <c r="Q56" i="1" s="1"/>
  <c r="M56" i="1"/>
  <c r="AQ55" i="1"/>
  <c r="AS55" i="1" s="1"/>
  <c r="AT55" i="1" s="1"/>
  <c r="AN55" i="1"/>
  <c r="AM55" i="1"/>
  <c r="AG55" i="1" s="1"/>
  <c r="AH55" i="1" s="1"/>
  <c r="AL55" i="1"/>
  <c r="AK55" i="1"/>
  <c r="AJ55" i="1"/>
  <c r="AR55" i="1" s="1"/>
  <c r="AE55" i="1"/>
  <c r="AD55" i="1"/>
  <c r="X55" i="1"/>
  <c r="S55" i="1"/>
  <c r="Q55" i="1"/>
  <c r="P55" i="1"/>
  <c r="M55" i="1"/>
  <c r="T55" i="1" s="1"/>
  <c r="AL54" i="1"/>
  <c r="AM54" i="1" s="1"/>
  <c r="AN54" i="1" s="1"/>
  <c r="AP54" i="1" s="1"/>
  <c r="AK54" i="1"/>
  <c r="AQ54" i="1" s="1"/>
  <c r="AJ54" i="1"/>
  <c r="AR54" i="1" s="1"/>
  <c r="AE54" i="1"/>
  <c r="X54" i="1"/>
  <c r="AD54" i="1" s="1"/>
  <c r="S54" i="1"/>
  <c r="P54" i="1"/>
  <c r="Q54" i="1" s="1"/>
  <c r="M54" i="1"/>
  <c r="T54" i="1" s="1"/>
  <c r="AQ53" i="1"/>
  <c r="AL53" i="1"/>
  <c r="AK53" i="1"/>
  <c r="AJ53" i="1"/>
  <c r="AE53" i="1" s="1"/>
  <c r="AD53" i="1"/>
  <c r="X53" i="1"/>
  <c r="T53" i="1"/>
  <c r="S53" i="1"/>
  <c r="Q53" i="1"/>
  <c r="P53" i="1"/>
  <c r="M53" i="1"/>
  <c r="AL52" i="1"/>
  <c r="AK52" i="1"/>
  <c r="AQ52" i="1" s="1"/>
  <c r="AJ52" i="1"/>
  <c r="AE52" i="1" s="1"/>
  <c r="X52" i="1"/>
  <c r="AD52" i="1" s="1"/>
  <c r="T52" i="1"/>
  <c r="S52" i="1"/>
  <c r="P52" i="1"/>
  <c r="Q52" i="1" s="1"/>
  <c r="M52" i="1"/>
  <c r="AQ51" i="1"/>
  <c r="AN51" i="1"/>
  <c r="AM51" i="1"/>
  <c r="AG51" i="1" s="1"/>
  <c r="AH51" i="1" s="1"/>
  <c r="AL51" i="1"/>
  <c r="AK51" i="1"/>
  <c r="AJ51" i="1"/>
  <c r="AR51" i="1" s="1"/>
  <c r="AI51" i="1"/>
  <c r="AE51" i="1"/>
  <c r="AD51" i="1"/>
  <c r="X51" i="1"/>
  <c r="S51" i="1"/>
  <c r="Q51" i="1"/>
  <c r="P51" i="1"/>
  <c r="M51" i="1"/>
  <c r="T51" i="1" s="1"/>
  <c r="AT50" i="1"/>
  <c r="AO50" i="1"/>
  <c r="AL50" i="1"/>
  <c r="AM50" i="1" s="1"/>
  <c r="AN50" i="1" s="1"/>
  <c r="AP50" i="1" s="1"/>
  <c r="AK50" i="1"/>
  <c r="AQ50" i="1" s="1"/>
  <c r="AS50" i="1" s="1"/>
  <c r="AJ50" i="1"/>
  <c r="AR50" i="1" s="1"/>
  <c r="AG50" i="1"/>
  <c r="AE50" i="1"/>
  <c r="X50" i="1"/>
  <c r="AD50" i="1" s="1"/>
  <c r="S50" i="1"/>
  <c r="P50" i="1"/>
  <c r="Q50" i="1" s="1"/>
  <c r="M50" i="1"/>
  <c r="T50" i="1" s="1"/>
  <c r="AQ49" i="1"/>
  <c r="AL49" i="1"/>
  <c r="AK49" i="1"/>
  <c r="AJ49" i="1"/>
  <c r="AE49" i="1" s="1"/>
  <c r="AD49" i="1"/>
  <c r="X49" i="1"/>
  <c r="T49" i="1"/>
  <c r="S49" i="1"/>
  <c r="Q49" i="1"/>
  <c r="P49" i="1"/>
  <c r="M49" i="1"/>
  <c r="AP48" i="1"/>
  <c r="AL48" i="1"/>
  <c r="AK48" i="1"/>
  <c r="AQ48" i="1" s="1"/>
  <c r="AJ48" i="1"/>
  <c r="AM48" i="1" s="1"/>
  <c r="AN48" i="1" s="1"/>
  <c r="AO48" i="1" s="1"/>
  <c r="AI48" i="1"/>
  <c r="AH48" i="1"/>
  <c r="AF48" i="1"/>
  <c r="AE48" i="1"/>
  <c r="X48" i="1"/>
  <c r="AD48" i="1" s="1"/>
  <c r="T48" i="1"/>
  <c r="S48" i="1"/>
  <c r="P48" i="1"/>
  <c r="Q48" i="1" s="1"/>
  <c r="M48" i="1"/>
  <c r="L48" i="1"/>
  <c r="AO47" i="1"/>
  <c r="AL47" i="1"/>
  <c r="AK47" i="1"/>
  <c r="AQ47" i="1" s="1"/>
  <c r="AJ47" i="1"/>
  <c r="AM47" i="1" s="1"/>
  <c r="AN47" i="1" s="1"/>
  <c r="AP47" i="1" s="1"/>
  <c r="AI47" i="1"/>
  <c r="AH47" i="1"/>
  <c r="AE47" i="1"/>
  <c r="AD47" i="1"/>
  <c r="X47" i="1"/>
  <c r="S47" i="1"/>
  <c r="Q47" i="1"/>
  <c r="P47" i="1"/>
  <c r="M47" i="1"/>
  <c r="T47" i="1" s="1"/>
  <c r="L47" i="1"/>
  <c r="AQ46" i="1"/>
  <c r="AL46" i="1"/>
  <c r="AK46" i="1"/>
  <c r="AI46" i="1"/>
  <c r="AH46" i="1"/>
  <c r="AE46" i="1"/>
  <c r="AJ46" i="1" s="1"/>
  <c r="AD46" i="1"/>
  <c r="X46" i="1"/>
  <c r="Q46" i="1"/>
  <c r="P46" i="1"/>
  <c r="L46" i="1"/>
  <c r="AQ45" i="1"/>
  <c r="AL45" i="1"/>
  <c r="AK45" i="1"/>
  <c r="AI45" i="1"/>
  <c r="AH45" i="1"/>
  <c r="AE45" i="1"/>
  <c r="AJ45" i="1" s="1"/>
  <c r="AM45" i="1" s="1"/>
  <c r="AN45" i="1" s="1"/>
  <c r="AD45" i="1"/>
  <c r="X45" i="1"/>
  <c r="P45" i="1"/>
  <c r="Q45" i="1" s="1"/>
  <c r="M45" i="1"/>
  <c r="T45" i="1" s="1"/>
  <c r="L45" i="1"/>
  <c r="S45" i="1" s="1"/>
  <c r="AL44" i="1"/>
  <c r="AK44" i="1"/>
  <c r="AQ44" i="1" s="1"/>
  <c r="AI44" i="1"/>
  <c r="AH44" i="1"/>
  <c r="AF44" i="1"/>
  <c r="AE44" i="1"/>
  <c r="AJ44" i="1" s="1"/>
  <c r="X44" i="1"/>
  <c r="AD44" i="1" s="1"/>
  <c r="T44" i="1"/>
  <c r="P44" i="1"/>
  <c r="Q44" i="1" s="1"/>
  <c r="M44" i="1"/>
  <c r="L44" i="1"/>
  <c r="S44" i="1" s="1"/>
  <c r="AR43" i="1"/>
  <c r="AL43" i="1"/>
  <c r="AK43" i="1"/>
  <c r="AQ43" i="1" s="1"/>
  <c r="AS43" i="1" s="1"/>
  <c r="AJ43" i="1"/>
  <c r="AI43" i="1"/>
  <c r="AH43" i="1"/>
  <c r="AE43" i="1"/>
  <c r="AD43" i="1"/>
  <c r="X43" i="1"/>
  <c r="T43" i="1"/>
  <c r="S43" i="1"/>
  <c r="Q43" i="1"/>
  <c r="P43" i="1"/>
  <c r="L43" i="1"/>
  <c r="M43" i="1" s="1"/>
  <c r="AK42" i="1"/>
  <c r="AJ42" i="1"/>
  <c r="AE42" i="1" s="1"/>
  <c r="AD42" i="1"/>
  <c r="X42" i="1"/>
  <c r="S42" i="1"/>
  <c r="Q42" i="1"/>
  <c r="P42" i="1"/>
  <c r="L42" i="1"/>
  <c r="M42" i="1" s="1"/>
  <c r="T42" i="1" s="1"/>
  <c r="G42" i="1"/>
  <c r="AQ42" i="1" s="1"/>
  <c r="F42" i="1"/>
  <c r="AK41" i="1"/>
  <c r="AQ41" i="1" s="1"/>
  <c r="AJ41" i="1"/>
  <c r="AE41" i="1"/>
  <c r="AD41" i="1"/>
  <c r="X41" i="1"/>
  <c r="T41" i="1"/>
  <c r="Q41" i="1"/>
  <c r="P41" i="1"/>
  <c r="L41" i="1"/>
  <c r="M41" i="1" s="1"/>
  <c r="G41" i="1"/>
  <c r="F41" i="1"/>
  <c r="AL41" i="1" s="1"/>
  <c r="AK40" i="1"/>
  <c r="AJ40" i="1"/>
  <c r="AR40" i="1" s="1"/>
  <c r="AE40" i="1"/>
  <c r="X40" i="1"/>
  <c r="AD40" i="1" s="1"/>
  <c r="T40" i="1"/>
  <c r="P40" i="1"/>
  <c r="Q40" i="1" s="1"/>
  <c r="M40" i="1"/>
  <c r="L40" i="1"/>
  <c r="S40" i="1" s="1"/>
  <c r="G40" i="1"/>
  <c r="F40" i="1"/>
  <c r="AL40" i="1" s="1"/>
  <c r="AM40" i="1" s="1"/>
  <c r="AQ39" i="1"/>
  <c r="AL39" i="1"/>
  <c r="AK39" i="1"/>
  <c r="AI39" i="1"/>
  <c r="AH39" i="1"/>
  <c r="AG39" i="1"/>
  <c r="AJ39" i="1" s="1"/>
  <c r="AR39" i="1" s="1"/>
  <c r="X39" i="1"/>
  <c r="AD39" i="1" s="1"/>
  <c r="S39" i="1"/>
  <c r="P39" i="1"/>
  <c r="Q39" i="1" s="1"/>
  <c r="M39" i="1"/>
  <c r="T39" i="1" s="1"/>
  <c r="AR38" i="1"/>
  <c r="AN38" i="1"/>
  <c r="AL38" i="1"/>
  <c r="AK38" i="1"/>
  <c r="AQ38" i="1" s="1"/>
  <c r="AS38" i="1" s="1"/>
  <c r="AT38" i="1" s="1"/>
  <c r="AJ38" i="1"/>
  <c r="AM38" i="1" s="1"/>
  <c r="AG38" i="1"/>
  <c r="AI38" i="1" s="1"/>
  <c r="AE38" i="1"/>
  <c r="AD38" i="1"/>
  <c r="X38" i="1"/>
  <c r="T38" i="1"/>
  <c r="S38" i="1"/>
  <c r="Q38" i="1"/>
  <c r="P38" i="1"/>
  <c r="M38" i="1"/>
  <c r="AQ37" i="1"/>
  <c r="AL37" i="1"/>
  <c r="AM37" i="1" s="1"/>
  <c r="AN37" i="1" s="1"/>
  <c r="AO37" i="1" s="1"/>
  <c r="AK37" i="1"/>
  <c r="AJ37" i="1"/>
  <c r="AR37" i="1" s="1"/>
  <c r="AI37" i="1"/>
  <c r="AH37" i="1"/>
  <c r="AG37" i="1"/>
  <c r="AE37" i="1" s="1"/>
  <c r="X37" i="1"/>
  <c r="AD37" i="1" s="1"/>
  <c r="T37" i="1"/>
  <c r="S37" i="1"/>
  <c r="P37" i="1"/>
  <c r="Q37" i="1" s="1"/>
  <c r="M37" i="1"/>
  <c r="AL36" i="1"/>
  <c r="AK36" i="1"/>
  <c r="AQ36" i="1" s="1"/>
  <c r="AG36" i="1"/>
  <c r="AE36" i="1" s="1"/>
  <c r="AD36" i="1"/>
  <c r="X36" i="1"/>
  <c r="S36" i="1"/>
  <c r="Q36" i="1"/>
  <c r="P36" i="1"/>
  <c r="M36" i="1"/>
  <c r="T36" i="1" s="1"/>
  <c r="AQ35" i="1"/>
  <c r="AM35" i="1"/>
  <c r="AN35" i="1" s="1"/>
  <c r="AO35" i="1" s="1"/>
  <c r="AL35" i="1"/>
  <c r="AK35" i="1"/>
  <c r="AJ35" i="1"/>
  <c r="AR35" i="1" s="1"/>
  <c r="AI35" i="1"/>
  <c r="AH35" i="1"/>
  <c r="AD35" i="1"/>
  <c r="X35" i="1"/>
  <c r="T35" i="1"/>
  <c r="S35" i="1"/>
  <c r="P35" i="1"/>
  <c r="Q35" i="1" s="1"/>
  <c r="M35" i="1"/>
  <c r="AQ34" i="1"/>
  <c r="AS34" i="1" s="1"/>
  <c r="AT34" i="1" s="1"/>
  <c r="AL34" i="1"/>
  <c r="AM34" i="1" s="1"/>
  <c r="AN34" i="1" s="1"/>
  <c r="AO34" i="1" s="1"/>
  <c r="AK34" i="1"/>
  <c r="AJ34" i="1"/>
  <c r="AR34" i="1" s="1"/>
  <c r="AI34" i="1"/>
  <c r="AH34" i="1"/>
  <c r="X34" i="1"/>
  <c r="AD34" i="1" s="1"/>
  <c r="S34" i="1"/>
  <c r="Q34" i="1"/>
  <c r="P34" i="1"/>
  <c r="M34" i="1"/>
  <c r="T34" i="1" s="1"/>
  <c r="AQ33" i="1"/>
  <c r="AS33" i="1" s="1"/>
  <c r="AT33" i="1" s="1"/>
  <c r="AL33" i="1"/>
  <c r="AM33" i="1" s="1"/>
  <c r="AN33" i="1" s="1"/>
  <c r="AK33" i="1"/>
  <c r="AJ33" i="1"/>
  <c r="AR33" i="1" s="1"/>
  <c r="AI33" i="1"/>
  <c r="AH33" i="1"/>
  <c r="X33" i="1"/>
  <c r="AD33" i="1" s="1"/>
  <c r="T33" i="1"/>
  <c r="S33" i="1"/>
  <c r="P33" i="1"/>
  <c r="Q33" i="1" s="1"/>
  <c r="M33" i="1"/>
  <c r="AQ32" i="1"/>
  <c r="AS32" i="1" s="1"/>
  <c r="AT32" i="1" s="1"/>
  <c r="AL32" i="1"/>
  <c r="AM32" i="1" s="1"/>
  <c r="AN32" i="1" s="1"/>
  <c r="AO32" i="1" s="1"/>
  <c r="AK32" i="1"/>
  <c r="AJ32" i="1"/>
  <c r="AR32" i="1" s="1"/>
  <c r="AI32" i="1"/>
  <c r="AH32" i="1"/>
  <c r="X32" i="1"/>
  <c r="AD32" i="1" s="1"/>
  <c r="S32" i="1"/>
  <c r="P32" i="1"/>
  <c r="Q32" i="1" s="1"/>
  <c r="M32" i="1"/>
  <c r="T32" i="1" s="1"/>
  <c r="AQ31" i="1"/>
  <c r="AL31" i="1"/>
  <c r="AM31" i="1" s="1"/>
  <c r="AN31" i="1" s="1"/>
  <c r="AK31" i="1"/>
  <c r="AJ31" i="1"/>
  <c r="AR31" i="1" s="1"/>
  <c r="AI31" i="1"/>
  <c r="AH31" i="1"/>
  <c r="X31" i="1"/>
  <c r="AD31" i="1" s="1"/>
  <c r="T31" i="1"/>
  <c r="S31" i="1"/>
  <c r="P31" i="1"/>
  <c r="Q31" i="1" s="1"/>
  <c r="M31" i="1"/>
  <c r="AQ30" i="1"/>
  <c r="AS30" i="1" s="1"/>
  <c r="AT30" i="1" s="1"/>
  <c r="AP30" i="1"/>
  <c r="AL30" i="1"/>
  <c r="AM30" i="1" s="1"/>
  <c r="AN30" i="1" s="1"/>
  <c r="AO30" i="1" s="1"/>
  <c r="AK30" i="1"/>
  <c r="AJ30" i="1"/>
  <c r="AR30" i="1" s="1"/>
  <c r="AI30" i="1"/>
  <c r="AH30" i="1"/>
  <c r="X30" i="1"/>
  <c r="AD30" i="1" s="1"/>
  <c r="S30" i="1"/>
  <c r="P30" i="1"/>
  <c r="Q30" i="1" s="1"/>
  <c r="M30" i="1"/>
  <c r="T30" i="1" s="1"/>
  <c r="AQ29" i="1"/>
  <c r="AM29" i="1"/>
  <c r="AN29" i="1" s="1"/>
  <c r="AO29" i="1" s="1"/>
  <c r="AL29" i="1"/>
  <c r="AK29" i="1"/>
  <c r="AJ29" i="1"/>
  <c r="AR29" i="1" s="1"/>
  <c r="AI29" i="1"/>
  <c r="AH29" i="1"/>
  <c r="X29" i="1"/>
  <c r="AD29" i="1" s="1"/>
  <c r="T29" i="1"/>
  <c r="S29" i="1"/>
  <c r="P29" i="1"/>
  <c r="Q29" i="1" s="1"/>
  <c r="M29" i="1"/>
  <c r="AQ28" i="1"/>
  <c r="AP28" i="1"/>
  <c r="AL28" i="1"/>
  <c r="AM28" i="1" s="1"/>
  <c r="AN28" i="1" s="1"/>
  <c r="AO28" i="1" s="1"/>
  <c r="AK28" i="1"/>
  <c r="AJ28" i="1"/>
  <c r="AR28" i="1" s="1"/>
  <c r="AI28" i="1"/>
  <c r="AH28" i="1"/>
  <c r="X28" i="1"/>
  <c r="AD28" i="1" s="1"/>
  <c r="S28" i="1"/>
  <c r="P28" i="1"/>
  <c r="Q28" i="1" s="1"/>
  <c r="M28" i="1"/>
  <c r="T28" i="1" s="1"/>
  <c r="AQ27" i="1"/>
  <c r="AL27" i="1"/>
  <c r="AM27" i="1" s="1"/>
  <c r="AN27" i="1" s="1"/>
  <c r="AK27" i="1"/>
  <c r="AJ27" i="1"/>
  <c r="AR27" i="1" s="1"/>
  <c r="AI27" i="1"/>
  <c r="AH27" i="1"/>
  <c r="X27" i="1"/>
  <c r="AD27" i="1" s="1"/>
  <c r="T27" i="1"/>
  <c r="S27" i="1"/>
  <c r="P27" i="1"/>
  <c r="Q27" i="1" s="1"/>
  <c r="M27" i="1"/>
  <c r="AQ26" i="1"/>
  <c r="AL26" i="1"/>
  <c r="AM26" i="1" s="1"/>
  <c r="AN26" i="1" s="1"/>
  <c r="AO26" i="1" s="1"/>
  <c r="AK26" i="1"/>
  <c r="AJ26" i="1"/>
  <c r="AR26" i="1" s="1"/>
  <c r="AI26" i="1"/>
  <c r="AH26" i="1"/>
  <c r="X26" i="1"/>
  <c r="AD26" i="1" s="1"/>
  <c r="S26" i="1"/>
  <c r="P26" i="1"/>
  <c r="Q26" i="1" s="1"/>
  <c r="M26" i="1"/>
  <c r="T26" i="1" s="1"/>
  <c r="AQ25" i="1"/>
  <c r="AS25" i="1" s="1"/>
  <c r="AL25" i="1"/>
  <c r="AM25" i="1" s="1"/>
  <c r="AN25" i="1" s="1"/>
  <c r="AK25" i="1"/>
  <c r="AJ25" i="1"/>
  <c r="AR25" i="1" s="1"/>
  <c r="AI25" i="1"/>
  <c r="AH25" i="1"/>
  <c r="X25" i="1"/>
  <c r="AD25" i="1" s="1"/>
  <c r="T25" i="1"/>
  <c r="S25" i="1"/>
  <c r="P25" i="1"/>
  <c r="Q25" i="1" s="1"/>
  <c r="M25" i="1"/>
  <c r="AQ24" i="1"/>
  <c r="AL24" i="1"/>
  <c r="AM24" i="1" s="1"/>
  <c r="AN24" i="1" s="1"/>
  <c r="AK24" i="1"/>
  <c r="AJ24" i="1"/>
  <c r="AR24" i="1" s="1"/>
  <c r="AI24" i="1"/>
  <c r="AH24" i="1"/>
  <c r="X24" i="1"/>
  <c r="AD24" i="1" s="1"/>
  <c r="T24" i="1"/>
  <c r="S24" i="1"/>
  <c r="P24" i="1"/>
  <c r="Q24" i="1" s="1"/>
  <c r="M24" i="1"/>
  <c r="AQ23" i="1"/>
  <c r="AM23" i="1"/>
  <c r="AN23" i="1" s="1"/>
  <c r="AO23" i="1" s="1"/>
  <c r="AL23" i="1"/>
  <c r="AK23" i="1"/>
  <c r="AJ23" i="1"/>
  <c r="AR23" i="1" s="1"/>
  <c r="AI23" i="1"/>
  <c r="AH23" i="1"/>
  <c r="X23" i="1"/>
  <c r="AD23" i="1" s="1"/>
  <c r="S23" i="1"/>
  <c r="P23" i="1"/>
  <c r="Q23" i="1" s="1"/>
  <c r="M23" i="1"/>
  <c r="T23" i="1" s="1"/>
  <c r="AQ22" i="1"/>
  <c r="AL22" i="1"/>
  <c r="AM22" i="1" s="1"/>
  <c r="AN22" i="1" s="1"/>
  <c r="AK22" i="1"/>
  <c r="AJ22" i="1"/>
  <c r="AR22" i="1" s="1"/>
  <c r="AI22" i="1"/>
  <c r="AH22" i="1"/>
  <c r="X22" i="1"/>
  <c r="AD22" i="1" s="1"/>
  <c r="T22" i="1"/>
  <c r="S22" i="1"/>
  <c r="P22" i="1"/>
  <c r="Q22" i="1" s="1"/>
  <c r="M22" i="1"/>
  <c r="AQ21" i="1"/>
  <c r="AS21" i="1" s="1"/>
  <c r="AT21" i="1" s="1"/>
  <c r="AL21" i="1"/>
  <c r="AM21" i="1" s="1"/>
  <c r="AN21" i="1" s="1"/>
  <c r="AK21" i="1"/>
  <c r="AJ21" i="1"/>
  <c r="AR21" i="1" s="1"/>
  <c r="AI21" i="1"/>
  <c r="AH21" i="1"/>
  <c r="X21" i="1"/>
  <c r="AD21" i="1" s="1"/>
  <c r="T21" i="1"/>
  <c r="S21" i="1"/>
  <c r="P21" i="1"/>
  <c r="Q21" i="1" s="1"/>
  <c r="M21" i="1"/>
  <c r="AQ20" i="1"/>
  <c r="AL20" i="1"/>
  <c r="AM20" i="1" s="1"/>
  <c r="AN20" i="1" s="1"/>
  <c r="AK20" i="1"/>
  <c r="AJ20" i="1"/>
  <c r="AR20" i="1" s="1"/>
  <c r="AI20" i="1"/>
  <c r="AH20" i="1"/>
  <c r="X20" i="1"/>
  <c r="AD20" i="1" s="1"/>
  <c r="T20" i="1"/>
  <c r="S20" i="1"/>
  <c r="P20" i="1"/>
  <c r="Q20" i="1" s="1"/>
  <c r="M20" i="1"/>
  <c r="AQ19" i="1"/>
  <c r="AM19" i="1"/>
  <c r="AN19" i="1" s="1"/>
  <c r="AO19" i="1" s="1"/>
  <c r="AL19" i="1"/>
  <c r="AK19" i="1"/>
  <c r="AJ19" i="1"/>
  <c r="AR19" i="1" s="1"/>
  <c r="AI19" i="1"/>
  <c r="AH19" i="1"/>
  <c r="X19" i="1"/>
  <c r="AD19" i="1" s="1"/>
  <c r="S19" i="1"/>
  <c r="P19" i="1"/>
  <c r="Q19" i="1" s="1"/>
  <c r="M19" i="1"/>
  <c r="T19" i="1" s="1"/>
  <c r="AQ18" i="1"/>
  <c r="AL18" i="1"/>
  <c r="AM18" i="1" s="1"/>
  <c r="AN18" i="1" s="1"/>
  <c r="AK18" i="1"/>
  <c r="AJ18" i="1"/>
  <c r="AR18" i="1" s="1"/>
  <c r="AI18" i="1"/>
  <c r="AH18" i="1"/>
  <c r="X18" i="1"/>
  <c r="AD18" i="1" s="1"/>
  <c r="T18" i="1"/>
  <c r="S18" i="1"/>
  <c r="P18" i="1"/>
  <c r="Q18" i="1" s="1"/>
  <c r="M18" i="1"/>
  <c r="AQ17" i="1"/>
  <c r="AS17" i="1" s="1"/>
  <c r="AL17" i="1"/>
  <c r="AM17" i="1" s="1"/>
  <c r="AN17" i="1" s="1"/>
  <c r="AK17" i="1"/>
  <c r="AJ17" i="1"/>
  <c r="AR17" i="1" s="1"/>
  <c r="AI17" i="1"/>
  <c r="AH17" i="1"/>
  <c r="X17" i="1"/>
  <c r="AD17" i="1" s="1"/>
  <c r="T17" i="1"/>
  <c r="S17" i="1"/>
  <c r="P17" i="1"/>
  <c r="Q17" i="1" s="1"/>
  <c r="M17" i="1"/>
  <c r="AQ16" i="1"/>
  <c r="AL16" i="1"/>
  <c r="AM16" i="1" s="1"/>
  <c r="AN16" i="1" s="1"/>
  <c r="AK16" i="1"/>
  <c r="AJ16" i="1"/>
  <c r="AR16" i="1" s="1"/>
  <c r="AI16" i="1"/>
  <c r="AH16" i="1"/>
  <c r="X16" i="1"/>
  <c r="AD16" i="1" s="1"/>
  <c r="T16" i="1"/>
  <c r="S16" i="1"/>
  <c r="P16" i="1"/>
  <c r="Q16" i="1" s="1"/>
  <c r="M16" i="1"/>
  <c r="AQ15" i="1"/>
  <c r="AM15" i="1"/>
  <c r="AN15" i="1" s="1"/>
  <c r="AO15" i="1" s="1"/>
  <c r="AL15" i="1"/>
  <c r="AK15" i="1"/>
  <c r="AJ15" i="1"/>
  <c r="AR15" i="1" s="1"/>
  <c r="AI15" i="1"/>
  <c r="AH15" i="1"/>
  <c r="X15" i="1"/>
  <c r="AD15" i="1" s="1"/>
  <c r="S15" i="1"/>
  <c r="P15" i="1"/>
  <c r="Q15" i="1" s="1"/>
  <c r="M15" i="1"/>
  <c r="T15" i="1" s="1"/>
  <c r="AQ14" i="1"/>
  <c r="AL14" i="1"/>
  <c r="AK14" i="1"/>
  <c r="AJ14" i="1"/>
  <c r="AR14" i="1" s="1"/>
  <c r="AI14" i="1"/>
  <c r="AH14" i="1"/>
  <c r="X14" i="1"/>
  <c r="AD14" i="1" s="1"/>
  <c r="T14" i="1"/>
  <c r="S14" i="1"/>
  <c r="P14" i="1"/>
  <c r="Q14" i="1" s="1"/>
  <c r="M14" i="1"/>
  <c r="AQ13" i="1"/>
  <c r="AS13" i="1" s="1"/>
  <c r="AT13" i="1" s="1"/>
  <c r="AM13" i="1"/>
  <c r="AN13" i="1" s="1"/>
  <c r="AL13" i="1"/>
  <c r="AK13" i="1"/>
  <c r="AJ13" i="1"/>
  <c r="AR13" i="1" s="1"/>
  <c r="AI13" i="1"/>
  <c r="AH13" i="1"/>
  <c r="X13" i="1"/>
  <c r="AD13" i="1" s="1"/>
  <c r="S13" i="1"/>
  <c r="P13" i="1"/>
  <c r="Q13" i="1" s="1"/>
  <c r="M13" i="1"/>
  <c r="T13" i="1" s="1"/>
  <c r="AR12" i="1"/>
  <c r="AQ12" i="1"/>
  <c r="AS12" i="1" s="1"/>
  <c r="AL12" i="1"/>
  <c r="AK12" i="1"/>
  <c r="AJ12" i="1"/>
  <c r="AM12" i="1" s="1"/>
  <c r="AN12" i="1" s="1"/>
  <c r="AI12" i="1"/>
  <c r="AH12" i="1"/>
  <c r="X12" i="1"/>
  <c r="AD12" i="1" s="1"/>
  <c r="T12" i="1"/>
  <c r="S12" i="1"/>
  <c r="Q12" i="1"/>
  <c r="P12" i="1"/>
  <c r="M12" i="1"/>
  <c r="AQ11" i="1"/>
  <c r="AM11" i="1"/>
  <c r="AN11" i="1" s="1"/>
  <c r="AL11" i="1"/>
  <c r="AK11" i="1"/>
  <c r="AJ11" i="1"/>
  <c r="AR11" i="1" s="1"/>
  <c r="AI11" i="1"/>
  <c r="AH11" i="1"/>
  <c r="AD11" i="1"/>
  <c r="X11" i="1"/>
  <c r="T11" i="1"/>
  <c r="S11" i="1"/>
  <c r="P11" i="1"/>
  <c r="Q11" i="1" s="1"/>
  <c r="M11" i="1"/>
  <c r="AR10" i="1"/>
  <c r="AL10" i="1"/>
  <c r="AK10" i="1"/>
  <c r="AQ10" i="1" s="1"/>
  <c r="AS10" i="1" s="1"/>
  <c r="AT10" i="1" s="1"/>
  <c r="AJ10" i="1"/>
  <c r="AM10" i="1" s="1"/>
  <c r="AN10" i="1" s="1"/>
  <c r="AI10" i="1"/>
  <c r="AH10" i="1"/>
  <c r="X10" i="1"/>
  <c r="AD10" i="1" s="1"/>
  <c r="T10" i="1"/>
  <c r="S10" i="1"/>
  <c r="P10" i="1"/>
  <c r="Q10" i="1" s="1"/>
  <c r="M10" i="1"/>
  <c r="AQ9" i="1"/>
  <c r="AS9" i="1" s="1"/>
  <c r="AT9" i="1" s="1"/>
  <c r="AL9" i="1"/>
  <c r="AM9" i="1" s="1"/>
  <c r="AN9" i="1" s="1"/>
  <c r="AK9" i="1"/>
  <c r="AJ9" i="1"/>
  <c r="AR9" i="1" s="1"/>
  <c r="AI9" i="1"/>
  <c r="AH9" i="1"/>
  <c r="AD9" i="1"/>
  <c r="X9" i="1"/>
  <c r="S9" i="1"/>
  <c r="P9" i="1"/>
  <c r="Q9" i="1" s="1"/>
  <c r="M9" i="1"/>
  <c r="T9" i="1" s="1"/>
  <c r="AL8" i="1"/>
  <c r="AK8" i="1"/>
  <c r="AQ8" i="1" s="1"/>
  <c r="AJ8" i="1"/>
  <c r="AR8" i="1" s="1"/>
  <c r="AI8" i="1"/>
  <c r="AH8" i="1"/>
  <c r="X8" i="1"/>
  <c r="AD8" i="1" s="1"/>
  <c r="S8" i="1"/>
  <c r="P8" i="1"/>
  <c r="Q8" i="1" s="1"/>
  <c r="M8" i="1"/>
  <c r="T8" i="1" s="1"/>
  <c r="AQ7" i="1"/>
  <c r="AS7" i="1" s="1"/>
  <c r="AL7" i="1"/>
  <c r="AM7" i="1" s="1"/>
  <c r="AN7" i="1" s="1"/>
  <c r="AK7" i="1"/>
  <c r="AJ7" i="1"/>
  <c r="AR7" i="1" s="1"/>
  <c r="AI7" i="1"/>
  <c r="AH7" i="1"/>
  <c r="X7" i="1"/>
  <c r="AD7" i="1" s="1"/>
  <c r="T7" i="1"/>
  <c r="S7" i="1"/>
  <c r="P7" i="1"/>
  <c r="Q7" i="1" s="1"/>
  <c r="M7" i="1"/>
  <c r="AQ6" i="1"/>
  <c r="AS6" i="1" s="1"/>
  <c r="AT6" i="1" s="1"/>
  <c r="AL6" i="1"/>
  <c r="AM6" i="1" s="1"/>
  <c r="AN6" i="1" s="1"/>
  <c r="AK6" i="1"/>
  <c r="AJ6" i="1"/>
  <c r="AR6" i="1" s="1"/>
  <c r="AI6" i="1"/>
  <c r="AH6" i="1"/>
  <c r="X6" i="1"/>
  <c r="AD6" i="1" s="1"/>
  <c r="S6" i="1"/>
  <c r="Q6" i="1"/>
  <c r="P6" i="1"/>
  <c r="M6" i="1"/>
  <c r="T6" i="1" s="1"/>
  <c r="AQ5" i="1"/>
  <c r="AS5" i="1" s="1"/>
  <c r="AT5" i="1" s="1"/>
  <c r="AM5" i="1"/>
  <c r="AN5" i="1" s="1"/>
  <c r="AL5" i="1"/>
  <c r="AK5" i="1"/>
  <c r="AJ5" i="1"/>
  <c r="AR5" i="1" s="1"/>
  <c r="AI5" i="1"/>
  <c r="AH5" i="1"/>
  <c r="X5" i="1"/>
  <c r="AD5" i="1" s="1"/>
  <c r="T5" i="1"/>
  <c r="S5" i="1"/>
  <c r="P5" i="1"/>
  <c r="Q5" i="1" s="1"/>
  <c r="M5" i="1"/>
  <c r="AR4" i="1"/>
  <c r="AQ4" i="1"/>
  <c r="AS4" i="1" s="1"/>
  <c r="AT4" i="1" s="1"/>
  <c r="AL4" i="1"/>
  <c r="AM4" i="1" s="1"/>
  <c r="AN4" i="1" s="1"/>
  <c r="AK4" i="1"/>
  <c r="AJ4" i="1"/>
  <c r="AI4" i="1"/>
  <c r="AH4" i="1"/>
  <c r="X4" i="1"/>
  <c r="AD4" i="1" s="1"/>
  <c r="T4" i="1"/>
  <c r="S4" i="1"/>
  <c r="Q4" i="1"/>
  <c r="P4" i="1"/>
  <c r="M4" i="1"/>
  <c r="AP9" i="1" l="1"/>
  <c r="AO9" i="1"/>
  <c r="AP11" i="1"/>
  <c r="AO11" i="1"/>
  <c r="AO13" i="1"/>
  <c r="AP13" i="1"/>
  <c r="AO21" i="1"/>
  <c r="AP21" i="1"/>
  <c r="AO4" i="1"/>
  <c r="AP4" i="1"/>
  <c r="AO6" i="1"/>
  <c r="AP6" i="1"/>
  <c r="AO10" i="1"/>
  <c r="AP10" i="1"/>
  <c r="AO16" i="1"/>
  <c r="AP16" i="1"/>
  <c r="AO24" i="1"/>
  <c r="AP24" i="1"/>
  <c r="AO27" i="1"/>
  <c r="AP27" i="1"/>
  <c r="AO12" i="1"/>
  <c r="AP12" i="1"/>
  <c r="AN40" i="1"/>
  <c r="AG40" i="1"/>
  <c r="AO22" i="1"/>
  <c r="AP22" i="1"/>
  <c r="AO33" i="1"/>
  <c r="AP33" i="1"/>
  <c r="AP7" i="1"/>
  <c r="AO7" i="1"/>
  <c r="AO17" i="1"/>
  <c r="AP17" i="1"/>
  <c r="AO25" i="1"/>
  <c r="AP25" i="1"/>
  <c r="AT7" i="1"/>
  <c r="AS8" i="1"/>
  <c r="AT12" i="1"/>
  <c r="AT17" i="1"/>
  <c r="AO20" i="1"/>
  <c r="AP20" i="1"/>
  <c r="AT25" i="1"/>
  <c r="AP5" i="1"/>
  <c r="AO5" i="1"/>
  <c r="AO31" i="1"/>
  <c r="AP31" i="1"/>
  <c r="AO18" i="1"/>
  <c r="AP18" i="1"/>
  <c r="AO45" i="1"/>
  <c r="AP45" i="1"/>
  <c r="AP38" i="1"/>
  <c r="AO38" i="1"/>
  <c r="AF63" i="1"/>
  <c r="AE63" i="1"/>
  <c r="AP77" i="1"/>
  <c r="AO77" i="1"/>
  <c r="AP79" i="1"/>
  <c r="AO79" i="1"/>
  <c r="G83" i="1"/>
  <c r="AL83" i="1" s="1"/>
  <c r="AL87" i="1"/>
  <c r="AQ87" i="1"/>
  <c r="AS87" i="1" s="1"/>
  <c r="AI93" i="1"/>
  <c r="AH93" i="1"/>
  <c r="AN94" i="1"/>
  <c r="AG94" i="1"/>
  <c r="AN96" i="1"/>
  <c r="AG96" i="1"/>
  <c r="AP102" i="1"/>
  <c r="AO102" i="1"/>
  <c r="AP110" i="1"/>
  <c r="AO110" i="1"/>
  <c r="AO112" i="1"/>
  <c r="AP112" i="1"/>
  <c r="AO116" i="1"/>
  <c r="AP116" i="1"/>
  <c r="AM154" i="1"/>
  <c r="AR154" i="1"/>
  <c r="AS154" i="1" s="1"/>
  <c r="AT154" i="1" s="1"/>
  <c r="AE154" i="1"/>
  <c r="AP412" i="1"/>
  <c r="AO412" i="1"/>
  <c r="AP414" i="1"/>
  <c r="AO414" i="1"/>
  <c r="AG440" i="1"/>
  <c r="AN440" i="1"/>
  <c r="AP37" i="1"/>
  <c r="AO54" i="1"/>
  <c r="AL58" i="1"/>
  <c r="AM58" i="1" s="1"/>
  <c r="AN58" i="1" s="1"/>
  <c r="AK58" i="1"/>
  <c r="AQ58" i="1" s="1"/>
  <c r="AS58" i="1" s="1"/>
  <c r="AT58" i="1" s="1"/>
  <c r="AL66" i="1"/>
  <c r="AM66" i="1" s="1"/>
  <c r="AN66" i="1" s="1"/>
  <c r="AK66" i="1"/>
  <c r="AQ66" i="1" s="1"/>
  <c r="AS66" i="1" s="1"/>
  <c r="AS74" i="1"/>
  <c r="AT74" i="1" s="1"/>
  <c r="AF75" i="1"/>
  <c r="AE75" i="1"/>
  <c r="F81" i="1"/>
  <c r="M81" i="1"/>
  <c r="T81" i="1" s="1"/>
  <c r="AP109" i="1"/>
  <c r="AO109" i="1"/>
  <c r="AI114" i="1"/>
  <c r="AH114" i="1"/>
  <c r="AS11" i="1"/>
  <c r="AT11" i="1" s="1"/>
  <c r="AP32" i="1"/>
  <c r="AS37" i="1"/>
  <c r="AT37" i="1" s="1"/>
  <c r="AM41" i="1"/>
  <c r="AR44" i="1"/>
  <c r="AM44" i="1"/>
  <c r="AN44" i="1" s="1"/>
  <c r="AR47" i="1"/>
  <c r="AI55" i="1"/>
  <c r="AF61" i="1"/>
  <c r="AE61" i="1"/>
  <c r="AR63" i="1"/>
  <c r="AQ70" i="1"/>
  <c r="AS70" i="1" s="1"/>
  <c r="AT70" i="1" s="1"/>
  <c r="AF71" i="1"/>
  <c r="AE71" i="1"/>
  <c r="AP73" i="1"/>
  <c r="AO73" i="1"/>
  <c r="AO78" i="1"/>
  <c r="G80" i="1"/>
  <c r="AL80" i="1" s="1"/>
  <c r="AR81" i="1"/>
  <c r="AR83" i="1"/>
  <c r="AT94" i="1"/>
  <c r="AI100" i="1"/>
  <c r="AH100" i="1"/>
  <c r="AI148" i="1"/>
  <c r="AH148" i="1"/>
  <c r="AM8" i="1"/>
  <c r="AN8" i="1" s="1"/>
  <c r="AS16" i="1"/>
  <c r="AT16" i="1" s="1"/>
  <c r="AS20" i="1"/>
  <c r="AT20" i="1" s="1"/>
  <c r="AS24" i="1"/>
  <c r="AT24" i="1" s="1"/>
  <c r="AS27" i="1"/>
  <c r="AT27" i="1" s="1"/>
  <c r="AQ40" i="1"/>
  <c r="AS40" i="1" s="1"/>
  <c r="AT40" i="1" s="1"/>
  <c r="AF47" i="1"/>
  <c r="AL64" i="1"/>
  <c r="AM64" i="1" s="1"/>
  <c r="AN64" i="1" s="1"/>
  <c r="AK64" i="1"/>
  <c r="AQ64" i="1" s="1"/>
  <c r="AS64" i="1" s="1"/>
  <c r="AT64" i="1" s="1"/>
  <c r="AP69" i="1"/>
  <c r="AO69" i="1"/>
  <c r="AM75" i="1"/>
  <c r="AN75" i="1" s="1"/>
  <c r="AQ83" i="1"/>
  <c r="AQ84" i="1"/>
  <c r="AP93" i="1"/>
  <c r="AO93" i="1"/>
  <c r="AS95" i="1"/>
  <c r="AT95" i="1" s="1"/>
  <c r="AO104" i="1"/>
  <c r="AP104" i="1"/>
  <c r="AP125" i="1"/>
  <c r="AO125" i="1"/>
  <c r="AP15" i="1"/>
  <c r="AP19" i="1"/>
  <c r="AP23" i="1"/>
  <c r="AP26" i="1"/>
  <c r="AP29" i="1"/>
  <c r="AP35" i="1"/>
  <c r="AR42" i="1"/>
  <c r="AS42" i="1" s="1"/>
  <c r="AM46" i="1"/>
  <c r="AN46" i="1" s="1"/>
  <c r="AR46" i="1"/>
  <c r="AS46" i="1" s="1"/>
  <c r="AT46" i="1" s="1"/>
  <c r="AF46" i="1"/>
  <c r="AM49" i="1"/>
  <c r="AI50" i="1"/>
  <c r="AH50" i="1"/>
  <c r="AF59" i="1"/>
  <c r="AE59" i="1"/>
  <c r="AR61" i="1"/>
  <c r="F65" i="1"/>
  <c r="G65" i="1" s="1"/>
  <c r="AF67" i="1"/>
  <c r="AE67" i="1"/>
  <c r="AM71" i="1"/>
  <c r="AN71" i="1" s="1"/>
  <c r="AO74" i="1"/>
  <c r="AR75" i="1"/>
  <c r="F77" i="1"/>
  <c r="M77" i="1"/>
  <c r="T77" i="1" s="1"/>
  <c r="AQ82" i="1"/>
  <c r="AQ86" i="1"/>
  <c r="AG91" i="1"/>
  <c r="AN91" i="1"/>
  <c r="AT96" i="1"/>
  <c r="AN98" i="1"/>
  <c r="AG98" i="1"/>
  <c r="AP100" i="1"/>
  <c r="AO100" i="1"/>
  <c r="AP101" i="1"/>
  <c r="AO101" i="1"/>
  <c r="AP119" i="1"/>
  <c r="AO119" i="1"/>
  <c r="AM14" i="1"/>
  <c r="AN14" i="1" s="1"/>
  <c r="AS15" i="1"/>
  <c r="AT15" i="1" s="1"/>
  <c r="AS19" i="1"/>
  <c r="AT19" i="1" s="1"/>
  <c r="AS23" i="1"/>
  <c r="AT23" i="1" s="1"/>
  <c r="AS26" i="1"/>
  <c r="AT26" i="1" s="1"/>
  <c r="AS29" i="1"/>
  <c r="AT29" i="1" s="1"/>
  <c r="AP34" i="1"/>
  <c r="AS35" i="1"/>
  <c r="AT35" i="1" s="1"/>
  <c r="AM39" i="1"/>
  <c r="AN39" i="1" s="1"/>
  <c r="S41" i="1"/>
  <c r="AR41" i="1"/>
  <c r="AS41" i="1" s="1"/>
  <c r="AT41" i="1" s="1"/>
  <c r="AM53" i="1"/>
  <c r="AG54" i="1"/>
  <c r="AM59" i="1"/>
  <c r="AN59" i="1" s="1"/>
  <c r="AL62" i="1"/>
  <c r="AM62" i="1" s="1"/>
  <c r="AN62" i="1" s="1"/>
  <c r="AK62" i="1"/>
  <c r="AQ62" i="1" s="1"/>
  <c r="AS62" i="1" s="1"/>
  <c r="AM67" i="1"/>
  <c r="AN67" i="1" s="1"/>
  <c r="AO70" i="1"/>
  <c r="AR71" i="1"/>
  <c r="F73" i="1"/>
  <c r="M73" i="1"/>
  <c r="T73" i="1" s="1"/>
  <c r="AL76" i="1"/>
  <c r="G76" i="1"/>
  <c r="AQ76" i="1" s="1"/>
  <c r="AS76" i="1" s="1"/>
  <c r="AT76" i="1" s="1"/>
  <c r="AR77" i="1"/>
  <c r="AQ80" i="1"/>
  <c r="AP81" i="1"/>
  <c r="AO81" i="1"/>
  <c r="AL86" i="1"/>
  <c r="AG90" i="1"/>
  <c r="AT100" i="1"/>
  <c r="AQ103" i="1"/>
  <c r="AG141" i="1"/>
  <c r="AN141" i="1"/>
  <c r="AI36" i="1"/>
  <c r="AH36" i="1"/>
  <c r="AS44" i="1"/>
  <c r="AT44" i="1" s="1"/>
  <c r="AS45" i="1"/>
  <c r="AT45" i="1" s="1"/>
  <c r="AR49" i="1"/>
  <c r="AS49" i="1" s="1"/>
  <c r="AT49" i="1" s="1"/>
  <c r="AP51" i="1"/>
  <c r="AO51" i="1"/>
  <c r="AG57" i="1"/>
  <c r="AN57" i="1"/>
  <c r="F63" i="1"/>
  <c r="G63" i="1" s="1"/>
  <c r="AF65" i="1"/>
  <c r="AE65" i="1"/>
  <c r="F69" i="1"/>
  <c r="M69" i="1"/>
  <c r="T69" i="1" s="1"/>
  <c r="AL72" i="1"/>
  <c r="G72" i="1"/>
  <c r="AQ72" i="1" s="1"/>
  <c r="AS72" i="1" s="1"/>
  <c r="AT72" i="1" s="1"/>
  <c r="AF79" i="1"/>
  <c r="AE79" i="1"/>
  <c r="AG88" i="1"/>
  <c r="AN88" i="1"/>
  <c r="AP123" i="1"/>
  <c r="AO123" i="1"/>
  <c r="AI158" i="1"/>
  <c r="AH158" i="1"/>
  <c r="AS14" i="1"/>
  <c r="AT14" i="1" s="1"/>
  <c r="AS18" i="1"/>
  <c r="AT18" i="1" s="1"/>
  <c r="AS22" i="1"/>
  <c r="AT22" i="1" s="1"/>
  <c r="AS28" i="1"/>
  <c r="AT28" i="1" s="1"/>
  <c r="AS31" i="1"/>
  <c r="AT31" i="1" s="1"/>
  <c r="AJ36" i="1"/>
  <c r="AS39" i="1"/>
  <c r="AT39" i="1" s="1"/>
  <c r="AL42" i="1"/>
  <c r="AM42" i="1" s="1"/>
  <c r="AF43" i="1"/>
  <c r="AM43" i="1"/>
  <c r="AN43" i="1" s="1"/>
  <c r="AR45" i="1"/>
  <c r="AF45" i="1"/>
  <c r="S46" i="1"/>
  <c r="M46" i="1"/>
  <c r="T46" i="1" s="1"/>
  <c r="AS47" i="1"/>
  <c r="AT47" i="1" s="1"/>
  <c r="AS51" i="1"/>
  <c r="AT51" i="1" s="1"/>
  <c r="AR53" i="1"/>
  <c r="AS53" i="1" s="1"/>
  <c r="AT53" i="1" s="1"/>
  <c r="AS54" i="1"/>
  <c r="AT54" i="1" s="1"/>
  <c r="AP55" i="1"/>
  <c r="AO55" i="1"/>
  <c r="AS57" i="1"/>
  <c r="AT57" i="1" s="1"/>
  <c r="AL60" i="1"/>
  <c r="AM60" i="1" s="1"/>
  <c r="AN60" i="1" s="1"/>
  <c r="AK60" i="1"/>
  <c r="AQ60" i="1" s="1"/>
  <c r="AS60" i="1" s="1"/>
  <c r="AT60" i="1" s="1"/>
  <c r="AL61" i="1"/>
  <c r="AM61" i="1" s="1"/>
  <c r="AN61" i="1" s="1"/>
  <c r="G68" i="1"/>
  <c r="AL68" i="1" s="1"/>
  <c r="AR73" i="1"/>
  <c r="AQ78" i="1"/>
  <c r="AS78" i="1" s="1"/>
  <c r="AT78" i="1" s="1"/>
  <c r="AO82" i="1"/>
  <c r="M85" i="1"/>
  <c r="T85" i="1" s="1"/>
  <c r="F85" i="1"/>
  <c r="AO86" i="1"/>
  <c r="AE87" i="1"/>
  <c r="AM87" i="1"/>
  <c r="AS88" i="1"/>
  <c r="AT88" i="1" s="1"/>
  <c r="AO90" i="1"/>
  <c r="AP90" i="1"/>
  <c r="AG92" i="1"/>
  <c r="AN92" i="1"/>
  <c r="AP97" i="1"/>
  <c r="AO97" i="1"/>
  <c r="AP115" i="1"/>
  <c r="AO115" i="1"/>
  <c r="AE39" i="1"/>
  <c r="AK59" i="1"/>
  <c r="AQ59" i="1" s="1"/>
  <c r="AS59" i="1" s="1"/>
  <c r="AT59" i="1" s="1"/>
  <c r="AK61" i="1"/>
  <c r="AQ61" i="1" s="1"/>
  <c r="AS61" i="1" s="1"/>
  <c r="AT61" i="1" s="1"/>
  <c r="AK63" i="1"/>
  <c r="AQ63" i="1" s="1"/>
  <c r="AS63" i="1" s="1"/>
  <c r="AK65" i="1"/>
  <c r="AQ65" i="1" s="1"/>
  <c r="AS65" i="1" s="1"/>
  <c r="AK67" i="1"/>
  <c r="AQ67" i="1" s="1"/>
  <c r="AS67" i="1" s="1"/>
  <c r="AT67" i="1" s="1"/>
  <c r="AF77" i="1"/>
  <c r="F79" i="1"/>
  <c r="AF81" i="1"/>
  <c r="AL84" i="1"/>
  <c r="AM85" i="1"/>
  <c r="AN85" i="1" s="1"/>
  <c r="AE103" i="1"/>
  <c r="AR103" i="1"/>
  <c r="AE106" i="1"/>
  <c r="AR107" i="1"/>
  <c r="AS107" i="1" s="1"/>
  <c r="AT107" i="1" s="1"/>
  <c r="AT115" i="1"/>
  <c r="AS119" i="1"/>
  <c r="AT119" i="1" s="1"/>
  <c r="AQ120" i="1"/>
  <c r="AQ125" i="1"/>
  <c r="AS125" i="1" s="1"/>
  <c r="AT125" i="1" s="1"/>
  <c r="AS127" i="1"/>
  <c r="AF129" i="1"/>
  <c r="AE129" i="1"/>
  <c r="AM129" i="1"/>
  <c r="AN129" i="1" s="1"/>
  <c r="AP138" i="1"/>
  <c r="AO138" i="1"/>
  <c r="AG157" i="1"/>
  <c r="AN157" i="1"/>
  <c r="AP164" i="1"/>
  <c r="AO164" i="1"/>
  <c r="AI211" i="1"/>
  <c r="AH211" i="1"/>
  <c r="AG230" i="1"/>
  <c r="AN230" i="1"/>
  <c r="AR48" i="1"/>
  <c r="AS48" i="1" s="1"/>
  <c r="AT48" i="1" s="1"/>
  <c r="AR52" i="1"/>
  <c r="AS52" i="1" s="1"/>
  <c r="AR56" i="1"/>
  <c r="AS56" i="1" s="1"/>
  <c r="AT56" i="1" s="1"/>
  <c r="AR68" i="1"/>
  <c r="G71" i="1"/>
  <c r="AQ71" i="1" s="1"/>
  <c r="AS71" i="1" s="1"/>
  <c r="AT71" i="1" s="1"/>
  <c r="AR72" i="1"/>
  <c r="G75" i="1"/>
  <c r="AQ75" i="1" s="1"/>
  <c r="AS75" i="1" s="1"/>
  <c r="AT75" i="1" s="1"/>
  <c r="AR76" i="1"/>
  <c r="AR80" i="1"/>
  <c r="AM83" i="1"/>
  <c r="AN83" i="1" s="1"/>
  <c r="AM84" i="1"/>
  <c r="AN84" i="1" s="1"/>
  <c r="AE107" i="1"/>
  <c r="AL108" i="1"/>
  <c r="AM108" i="1" s="1"/>
  <c r="AN108" i="1" s="1"/>
  <c r="AE110" i="1"/>
  <c r="AS116" i="1"/>
  <c r="AT116" i="1" s="1"/>
  <c r="AQ117" i="1"/>
  <c r="AS117" i="1" s="1"/>
  <c r="AT117" i="1" s="1"/>
  <c r="AR118" i="1"/>
  <c r="AS118" i="1" s="1"/>
  <c r="AT118" i="1" s="1"/>
  <c r="AO132" i="1"/>
  <c r="AP132" i="1"/>
  <c r="AS135" i="1"/>
  <c r="AG145" i="1"/>
  <c r="AN145" i="1"/>
  <c r="AT157" i="1"/>
  <c r="AS162" i="1"/>
  <c r="AT162" i="1" s="1"/>
  <c r="AG167" i="1"/>
  <c r="AN167" i="1"/>
  <c r="AP179" i="1"/>
  <c r="AO179" i="1"/>
  <c r="AI183" i="1"/>
  <c r="AH183" i="1"/>
  <c r="AG187" i="1"/>
  <c r="AN187" i="1"/>
  <c r="AN191" i="1"/>
  <c r="AG191" i="1"/>
  <c r="AI102" i="1"/>
  <c r="AH102" i="1"/>
  <c r="AM106" i="1"/>
  <c r="AN106" i="1" s="1"/>
  <c r="AI118" i="1"/>
  <c r="AH118" i="1"/>
  <c r="AM122" i="1"/>
  <c r="AN122" i="1" s="1"/>
  <c r="AS123" i="1"/>
  <c r="AT123" i="1" s="1"/>
  <c r="AP124" i="1"/>
  <c r="AO124" i="1"/>
  <c r="AI127" i="1"/>
  <c r="AH127" i="1"/>
  <c r="AP128" i="1"/>
  <c r="AO128" i="1"/>
  <c r="AS141" i="1"/>
  <c r="AT141" i="1" s="1"/>
  <c r="AG155" i="1"/>
  <c r="AN155" i="1"/>
  <c r="AG159" i="1"/>
  <c r="AN159" i="1"/>
  <c r="AG162" i="1"/>
  <c r="AN162" i="1"/>
  <c r="AG205" i="1"/>
  <c r="AN205" i="1"/>
  <c r="AO276" i="1"/>
  <c r="AP276" i="1"/>
  <c r="AF83" i="1"/>
  <c r="AF84" i="1"/>
  <c r="AF85" i="1"/>
  <c r="AH97" i="1"/>
  <c r="AN99" i="1"/>
  <c r="AQ109" i="1"/>
  <c r="AS109" i="1" s="1"/>
  <c r="AT109" i="1" s="1"/>
  <c r="AF111" i="1"/>
  <c r="AE111" i="1"/>
  <c r="AO117" i="1"/>
  <c r="AP131" i="1"/>
  <c r="AO131" i="1"/>
  <c r="AS137" i="1"/>
  <c r="AI152" i="1"/>
  <c r="AH152" i="1"/>
  <c r="AO169" i="1"/>
  <c r="AP169" i="1"/>
  <c r="AH38" i="1"/>
  <c r="AM52" i="1"/>
  <c r="AM56" i="1"/>
  <c r="AM68" i="1"/>
  <c r="AN68" i="1" s="1"/>
  <c r="AM72" i="1"/>
  <c r="AN72" i="1" s="1"/>
  <c r="AM76" i="1"/>
  <c r="AN76" i="1" s="1"/>
  <c r="AM80" i="1"/>
  <c r="AN80" i="1" s="1"/>
  <c r="AM89" i="1"/>
  <c r="AM114" i="1"/>
  <c r="AN114" i="1" s="1"/>
  <c r="AI119" i="1"/>
  <c r="AR129" i="1"/>
  <c r="AS129" i="1" s="1"/>
  <c r="AT129" i="1" s="1"/>
  <c r="AG142" i="1"/>
  <c r="AN142" i="1"/>
  <c r="AI146" i="1"/>
  <c r="AH146" i="1"/>
  <c r="AR149" i="1"/>
  <c r="AS149" i="1" s="1"/>
  <c r="AE149" i="1"/>
  <c r="AM149" i="1"/>
  <c r="AP160" i="1"/>
  <c r="AO160" i="1"/>
  <c r="AR163" i="1"/>
  <c r="AE163" i="1"/>
  <c r="AM163" i="1"/>
  <c r="AI165" i="1"/>
  <c r="AH165" i="1"/>
  <c r="AI168" i="1"/>
  <c r="AH168" i="1"/>
  <c r="AR82" i="1"/>
  <c r="AR84" i="1"/>
  <c r="AR86" i="1"/>
  <c r="AN95" i="1"/>
  <c r="AM103" i="1"/>
  <c r="AN103" i="1" s="1"/>
  <c r="AI106" i="1"/>
  <c r="AH106" i="1"/>
  <c r="AM107" i="1"/>
  <c r="AN107" i="1" s="1"/>
  <c r="AM111" i="1"/>
  <c r="AN111" i="1" s="1"/>
  <c r="AS114" i="1"/>
  <c r="AT114" i="1" s="1"/>
  <c r="AF119" i="1"/>
  <c r="AE119" i="1"/>
  <c r="AT142" i="1"/>
  <c r="AG143" i="1"/>
  <c r="AN143" i="1"/>
  <c r="AP146" i="1"/>
  <c r="AO146" i="1"/>
  <c r="AE147" i="1"/>
  <c r="AM147" i="1"/>
  <c r="AO165" i="1"/>
  <c r="AP165" i="1"/>
  <c r="AO168" i="1"/>
  <c r="AP168" i="1"/>
  <c r="AS176" i="1"/>
  <c r="AO180" i="1"/>
  <c r="AP180" i="1"/>
  <c r="AT99" i="1"/>
  <c r="AR106" i="1"/>
  <c r="AS106" i="1" s="1"/>
  <c r="AT106" i="1" s="1"/>
  <c r="AI110" i="1"/>
  <c r="AH110" i="1"/>
  <c r="AS111" i="1"/>
  <c r="AT111" i="1" s="1"/>
  <c r="AF118" i="1"/>
  <c r="AM118" i="1"/>
  <c r="AN118" i="1" s="1"/>
  <c r="AF127" i="1"/>
  <c r="AE127" i="1"/>
  <c r="AM127" i="1"/>
  <c r="AN127" i="1" s="1"/>
  <c r="AS143" i="1"/>
  <c r="AT143" i="1" s="1"/>
  <c r="AN150" i="1"/>
  <c r="AG150" i="1"/>
  <c r="AG161" i="1"/>
  <c r="AN161" i="1"/>
  <c r="AS163" i="1"/>
  <c r="AH164" i="1"/>
  <c r="AI164" i="1"/>
  <c r="AG173" i="1"/>
  <c r="AN173" i="1"/>
  <c r="AR104" i="1"/>
  <c r="AS104" i="1" s="1"/>
  <c r="AT104" i="1" s="1"/>
  <c r="AR112" i="1"/>
  <c r="AS112" i="1" s="1"/>
  <c r="AT112" i="1" s="1"/>
  <c r="AF115" i="1"/>
  <c r="AR120" i="1"/>
  <c r="AH122" i="1"/>
  <c r="AF123" i="1"/>
  <c r="AR128" i="1"/>
  <c r="AS128" i="1" s="1"/>
  <c r="AT128" i="1" s="1"/>
  <c r="AF133" i="1"/>
  <c r="AR137" i="1"/>
  <c r="AR141" i="1"/>
  <c r="AR143" i="1"/>
  <c r="AR155" i="1"/>
  <c r="AS155" i="1" s="1"/>
  <c r="AT155" i="1" s="1"/>
  <c r="AG156" i="1"/>
  <c r="AR156" i="1"/>
  <c r="AS156" i="1" s="1"/>
  <c r="AT156" i="1" s="1"/>
  <c r="AG160" i="1"/>
  <c r="AM171" i="1"/>
  <c r="AI175" i="1"/>
  <c r="AS179" i="1"/>
  <c r="AT179" i="1" s="1"/>
  <c r="AI193" i="1"/>
  <c r="AH193" i="1"/>
  <c r="AN222" i="1"/>
  <c r="AG222" i="1"/>
  <c r="AI224" i="1"/>
  <c r="AH224" i="1"/>
  <c r="AP237" i="1"/>
  <c r="AO237" i="1"/>
  <c r="AR105" i="1"/>
  <c r="AS105" i="1" s="1"/>
  <c r="AT105" i="1" s="1"/>
  <c r="AR113" i="1"/>
  <c r="AS113" i="1" s="1"/>
  <c r="AT113" i="1" s="1"/>
  <c r="AR121" i="1"/>
  <c r="AS121" i="1" s="1"/>
  <c r="AT121" i="1" s="1"/>
  <c r="AM126" i="1"/>
  <c r="AN126" i="1" s="1"/>
  <c r="AM130" i="1"/>
  <c r="AN130" i="1" s="1"/>
  <c r="AQ133" i="1"/>
  <c r="AS133" i="1" s="1"/>
  <c r="AT133" i="1" s="1"/>
  <c r="F136" i="1"/>
  <c r="AR139" i="1"/>
  <c r="AS139" i="1" s="1"/>
  <c r="AT139" i="1" s="1"/>
  <c r="AR150" i="1"/>
  <c r="AS150" i="1" s="1"/>
  <c r="AT150" i="1" s="1"/>
  <c r="AM151" i="1"/>
  <c r="AR152" i="1"/>
  <c r="AS152" i="1" s="1"/>
  <c r="AT152" i="1" s="1"/>
  <c r="AM153" i="1"/>
  <c r="AN158" i="1"/>
  <c r="AR162" i="1"/>
  <c r="AS165" i="1"/>
  <c r="AT165" i="1" s="1"/>
  <c r="AS169" i="1"/>
  <c r="AT169" i="1" s="1"/>
  <c r="AE170" i="1"/>
  <c r="AM170" i="1"/>
  <c r="AG184" i="1"/>
  <c r="AN184" i="1"/>
  <c r="AS187" i="1"/>
  <c r="AT187" i="1" s="1"/>
  <c r="AI188" i="1"/>
  <c r="AH188" i="1"/>
  <c r="AN202" i="1"/>
  <c r="AG202" i="1"/>
  <c r="AN204" i="1"/>
  <c r="AG204" i="1"/>
  <c r="AR122" i="1"/>
  <c r="AS122" i="1" s="1"/>
  <c r="AT122" i="1" s="1"/>
  <c r="AE126" i="1"/>
  <c r="AT173" i="1"/>
  <c r="AE174" i="1"/>
  <c r="AM174" i="1"/>
  <c r="AI180" i="1"/>
  <c r="AH180" i="1"/>
  <c r="S188" i="1"/>
  <c r="AR188" i="1"/>
  <c r="AN189" i="1"/>
  <c r="AG189" i="1"/>
  <c r="AL192" i="1"/>
  <c r="AM192" i="1" s="1"/>
  <c r="AQ192" i="1"/>
  <c r="AS192" i="1" s="1"/>
  <c r="AO193" i="1"/>
  <c r="AP193" i="1"/>
  <c r="AG203" i="1"/>
  <c r="AN203" i="1"/>
  <c r="AN208" i="1"/>
  <c r="AG208" i="1"/>
  <c r="AP248" i="1"/>
  <c r="AO248" i="1"/>
  <c r="AQ124" i="1"/>
  <c r="AS124" i="1" s="1"/>
  <c r="AT124" i="1" s="1"/>
  <c r="AF126" i="1"/>
  <c r="M130" i="1"/>
  <c r="T130" i="1" s="1"/>
  <c r="AF130" i="1"/>
  <c r="AF136" i="1"/>
  <c r="AE153" i="1"/>
  <c r="AE158" i="1"/>
  <c r="AI166" i="1"/>
  <c r="AS174" i="1"/>
  <c r="AT174" i="1" s="1"/>
  <c r="AT177" i="1"/>
  <c r="AG178" i="1"/>
  <c r="AH179" i="1"/>
  <c r="AG186" i="1"/>
  <c r="AN186" i="1"/>
  <c r="M188" i="1"/>
  <c r="T188" i="1" s="1"/>
  <c r="AS193" i="1"/>
  <c r="AT193" i="1" s="1"/>
  <c r="AG201" i="1"/>
  <c r="AN201" i="1"/>
  <c r="AI206" i="1"/>
  <c r="AH206" i="1"/>
  <c r="AT217" i="1"/>
  <c r="AN221" i="1"/>
  <c r="AG221" i="1"/>
  <c r="AE104" i="1"/>
  <c r="AM105" i="1"/>
  <c r="AN105" i="1" s="1"/>
  <c r="AE112" i="1"/>
  <c r="AM113" i="1"/>
  <c r="AN113" i="1" s="1"/>
  <c r="AE120" i="1"/>
  <c r="AM121" i="1"/>
  <c r="AN121" i="1" s="1"/>
  <c r="AH126" i="1"/>
  <c r="AE128" i="1"/>
  <c r="AL135" i="1"/>
  <c r="AM135" i="1" s="1"/>
  <c r="AN135" i="1" s="1"/>
  <c r="AE135" i="1"/>
  <c r="AM137" i="1"/>
  <c r="AN137" i="1" s="1"/>
  <c r="AM139" i="1"/>
  <c r="AM144" i="1"/>
  <c r="AT144" i="1" s="1"/>
  <c r="AS153" i="1"/>
  <c r="AT153" i="1" s="1"/>
  <c r="AR158" i="1"/>
  <c r="AS158" i="1" s="1"/>
  <c r="AT158" i="1" s="1"/>
  <c r="M163" i="1"/>
  <c r="T163" i="1" s="1"/>
  <c r="AN175" i="1"/>
  <c r="AH177" i="1"/>
  <c r="AP183" i="1"/>
  <c r="AG197" i="1"/>
  <c r="AN197" i="1"/>
  <c r="AS205" i="1"/>
  <c r="AT205" i="1" s="1"/>
  <c r="AN217" i="1"/>
  <c r="AG217" i="1"/>
  <c r="AP242" i="1"/>
  <c r="AO242" i="1"/>
  <c r="AI261" i="1"/>
  <c r="AH261" i="1"/>
  <c r="AP263" i="1"/>
  <c r="AO263" i="1"/>
  <c r="F134" i="1"/>
  <c r="AE134" i="1"/>
  <c r="M135" i="1"/>
  <c r="T135" i="1" s="1"/>
  <c r="AM140" i="1"/>
  <c r="AT140" i="1" s="1"/>
  <c r="AS151" i="1"/>
  <c r="AT151" i="1" s="1"/>
  <c r="AR171" i="1"/>
  <c r="AS171" i="1" s="1"/>
  <c r="AT171" i="1" s="1"/>
  <c r="AS175" i="1"/>
  <c r="AT175" i="1" s="1"/>
  <c r="AS178" i="1"/>
  <c r="AT178" i="1" s="1"/>
  <c r="AN181" i="1"/>
  <c r="AQ188" i="1"/>
  <c r="AS188" i="1" s="1"/>
  <c r="AT188" i="1" s="1"/>
  <c r="AN190" i="1"/>
  <c r="AG190" i="1"/>
  <c r="AG194" i="1"/>
  <c r="AN194" i="1"/>
  <c r="AP206" i="1"/>
  <c r="AO206" i="1"/>
  <c r="AP231" i="1"/>
  <c r="AO231" i="1"/>
  <c r="AO259" i="1"/>
  <c r="AP259" i="1"/>
  <c r="AS147" i="1"/>
  <c r="AT147" i="1" s="1"/>
  <c r="AE152" i="1"/>
  <c r="AS159" i="1"/>
  <c r="AT159" i="1" s="1"/>
  <c r="AS181" i="1"/>
  <c r="AT181" i="1" s="1"/>
  <c r="AI182" i="1"/>
  <c r="AH182" i="1"/>
  <c r="AL196" i="1"/>
  <c r="AM196" i="1" s="1"/>
  <c r="AQ196" i="1"/>
  <c r="AS196" i="1" s="1"/>
  <c r="AN200" i="1"/>
  <c r="AG200" i="1"/>
  <c r="AM172" i="1"/>
  <c r="AT172" i="1" s="1"/>
  <c r="AM176" i="1"/>
  <c r="AQ194" i="1"/>
  <c r="AS194" i="1" s="1"/>
  <c r="AT194" i="1" s="1"/>
  <c r="AL199" i="1"/>
  <c r="AM199" i="1" s="1"/>
  <c r="AQ201" i="1"/>
  <c r="AR205" i="1"/>
  <c r="AQ206" i="1"/>
  <c r="AS206" i="1" s="1"/>
  <c r="AT206" i="1" s="1"/>
  <c r="AI215" i="1"/>
  <c r="AP224" i="1"/>
  <c r="AO224" i="1"/>
  <c r="AG226" i="1"/>
  <c r="AI227" i="1"/>
  <c r="AH227" i="1"/>
  <c r="AT228" i="1"/>
  <c r="AI229" i="1"/>
  <c r="AH229" i="1"/>
  <c r="AT242" i="1"/>
  <c r="AO249" i="1"/>
  <c r="AP254" i="1"/>
  <c r="AI258" i="1"/>
  <c r="AH258" i="1"/>
  <c r="AT261" i="1"/>
  <c r="AT265" i="1"/>
  <c r="AS279" i="1"/>
  <c r="AT280" i="1"/>
  <c r="AP326" i="1"/>
  <c r="AO326" i="1"/>
  <c r="AR201" i="1"/>
  <c r="AI228" i="1"/>
  <c r="AH228" i="1"/>
  <c r="AP234" i="1"/>
  <c r="AO234" i="1"/>
  <c r="AF235" i="1"/>
  <c r="AE235" i="1"/>
  <c r="AM235" i="1"/>
  <c r="AN235" i="1" s="1"/>
  <c r="AP250" i="1"/>
  <c r="AO250" i="1"/>
  <c r="AQ251" i="1"/>
  <c r="AS251" i="1" s="1"/>
  <c r="AP257" i="1"/>
  <c r="AT258" i="1"/>
  <c r="AP264" i="1"/>
  <c r="AO264" i="1"/>
  <c r="AP280" i="1"/>
  <c r="AO280" i="1"/>
  <c r="AL281" i="1"/>
  <c r="AQ281" i="1"/>
  <c r="AR287" i="1"/>
  <c r="AN185" i="1"/>
  <c r="M186" i="1"/>
  <c r="T186" i="1" s="1"/>
  <c r="AQ197" i="1"/>
  <c r="AS197" i="1" s="1"/>
  <c r="AT197" i="1" s="1"/>
  <c r="M201" i="1"/>
  <c r="T201" i="1" s="1"/>
  <c r="M205" i="1"/>
  <c r="T205" i="1" s="1"/>
  <c r="AI209" i="1"/>
  <c r="AH209" i="1"/>
  <c r="AP210" i="1"/>
  <c r="AO211" i="1"/>
  <c r="AN214" i="1"/>
  <c r="AG219" i="1"/>
  <c r="AT219" i="1"/>
  <c r="AD222" i="1"/>
  <c r="AP225" i="1"/>
  <c r="AO225" i="1"/>
  <c r="AO227" i="1"/>
  <c r="AN228" i="1"/>
  <c r="AO229" i="1"/>
  <c r="AS234" i="1"/>
  <c r="AT234" i="1" s="1"/>
  <c r="AP238" i="1"/>
  <c r="AO238" i="1"/>
  <c r="AP244" i="1"/>
  <c r="AO244" i="1"/>
  <c r="AS250" i="1"/>
  <c r="AT250" i="1" s="1"/>
  <c r="AP255" i="1"/>
  <c r="AO255" i="1"/>
  <c r="AI260" i="1"/>
  <c r="AH260" i="1"/>
  <c r="AP267" i="1"/>
  <c r="AO267" i="1"/>
  <c r="AQ287" i="1"/>
  <c r="AS287" i="1" s="1"/>
  <c r="M199" i="1"/>
  <c r="T199" i="1" s="1"/>
  <c r="M200" i="1"/>
  <c r="T200" i="1" s="1"/>
  <c r="AR200" i="1"/>
  <c r="S200" i="1"/>
  <c r="S203" i="1"/>
  <c r="AP207" i="1"/>
  <c r="AO207" i="1"/>
  <c r="AT216" i="1"/>
  <c r="AR235" i="1"/>
  <c r="AS235" i="1" s="1"/>
  <c r="AT235" i="1" s="1"/>
  <c r="AS238" i="1"/>
  <c r="AT238" i="1" s="1"/>
  <c r="AP252" i="1"/>
  <c r="AO252" i="1"/>
  <c r="AT252" i="1"/>
  <c r="AP258" i="1"/>
  <c r="AP269" i="1"/>
  <c r="AO269" i="1"/>
  <c r="S277" i="1"/>
  <c r="G277" i="1"/>
  <c r="F277" i="1" s="1"/>
  <c r="AL277" i="1" s="1"/>
  <c r="AM277" i="1" s="1"/>
  <c r="AN277" i="1" s="1"/>
  <c r="M277" i="1"/>
  <c r="T277" i="1" s="1"/>
  <c r="S287" i="1"/>
  <c r="G287" i="1"/>
  <c r="F287" i="1" s="1"/>
  <c r="AL287" i="1" s="1"/>
  <c r="M287" i="1"/>
  <c r="T287" i="1" s="1"/>
  <c r="S187" i="1"/>
  <c r="AR199" i="1"/>
  <c r="AS199" i="1" s="1"/>
  <c r="AT199" i="1" s="1"/>
  <c r="AQ200" i="1"/>
  <c r="AS200" i="1" s="1"/>
  <c r="AT200" i="1" s="1"/>
  <c r="AQ207" i="1"/>
  <c r="AS207" i="1" s="1"/>
  <c r="AT207" i="1" s="1"/>
  <c r="M208" i="1"/>
  <c r="T208" i="1" s="1"/>
  <c r="AQ208" i="1"/>
  <c r="AD211" i="1"/>
  <c r="AD214" i="1"/>
  <c r="AO215" i="1"/>
  <c r="AG216" i="1"/>
  <c r="AN220" i="1"/>
  <c r="AD227" i="1"/>
  <c r="AT232" i="1"/>
  <c r="AM241" i="1"/>
  <c r="AN241" i="1" s="1"/>
  <c r="AP246" i="1"/>
  <c r="AO246" i="1"/>
  <c r="AQ247" i="1"/>
  <c r="AS247" i="1" s="1"/>
  <c r="AT269" i="1"/>
  <c r="AQ278" i="1"/>
  <c r="AO291" i="1"/>
  <c r="AP291" i="1"/>
  <c r="AO297" i="1"/>
  <c r="AP297" i="1"/>
  <c r="S186" i="1"/>
  <c r="AG195" i="1"/>
  <c r="AQ203" i="1"/>
  <c r="AS203" i="1" s="1"/>
  <c r="AT203" i="1" s="1"/>
  <c r="M204" i="1"/>
  <c r="T204" i="1" s="1"/>
  <c r="AQ204" i="1"/>
  <c r="AG210" i="1"/>
  <c r="AT214" i="1"/>
  <c r="AS220" i="1"/>
  <c r="AT220" i="1" s="1"/>
  <c r="AT231" i="1"/>
  <c r="AI232" i="1"/>
  <c r="AH232" i="1"/>
  <c r="AI233" i="1"/>
  <c r="AH233" i="1"/>
  <c r="AP240" i="1"/>
  <c r="AO240" i="1"/>
  <c r="AS246" i="1"/>
  <c r="AT246" i="1" s="1"/>
  <c r="AP253" i="1"/>
  <c r="AO253" i="1"/>
  <c r="AR255" i="1"/>
  <c r="S255" i="1"/>
  <c r="AQ255" i="1"/>
  <c r="AS255" i="1" s="1"/>
  <c r="AT255" i="1" s="1"/>
  <c r="M255" i="1"/>
  <c r="T255" i="1" s="1"/>
  <c r="AS256" i="1"/>
  <c r="AT256" i="1" s="1"/>
  <c r="AI257" i="1"/>
  <c r="AI259" i="1"/>
  <c r="AH259" i="1"/>
  <c r="AT266" i="1"/>
  <c r="AO268" i="1"/>
  <c r="AP268" i="1"/>
  <c r="AR275" i="1"/>
  <c r="AF275" i="1"/>
  <c r="AE275" i="1"/>
  <c r="AM275" i="1"/>
  <c r="AN275" i="1" s="1"/>
  <c r="AH303" i="1"/>
  <c r="AI303" i="1"/>
  <c r="AI213" i="1"/>
  <c r="AH213" i="1"/>
  <c r="AI218" i="1"/>
  <c r="AH218" i="1"/>
  <c r="AT230" i="1"/>
  <c r="AI231" i="1"/>
  <c r="AH231" i="1"/>
  <c r="AI254" i="1"/>
  <c r="AH254" i="1"/>
  <c r="AP256" i="1"/>
  <c r="AO256" i="1"/>
  <c r="AT259" i="1"/>
  <c r="AP265" i="1"/>
  <c r="AO265" i="1"/>
  <c r="AP266" i="1"/>
  <c r="AO266" i="1"/>
  <c r="AS268" i="1"/>
  <c r="AT268" i="1" s="1"/>
  <c r="AP272" i="1"/>
  <c r="AO272" i="1"/>
  <c r="AQ276" i="1"/>
  <c r="AS276" i="1" s="1"/>
  <c r="AT276" i="1" s="1"/>
  <c r="AI295" i="1"/>
  <c r="AH295" i="1"/>
  <c r="AR236" i="1"/>
  <c r="AS236" i="1" s="1"/>
  <c r="AT236" i="1" s="1"/>
  <c r="AR240" i="1"/>
  <c r="AS240" i="1" s="1"/>
  <c r="AT240" i="1" s="1"/>
  <c r="AR244" i="1"/>
  <c r="AS244" i="1" s="1"/>
  <c r="AT244" i="1" s="1"/>
  <c r="AR248" i="1"/>
  <c r="AS248" i="1" s="1"/>
  <c r="AT248" i="1" s="1"/>
  <c r="AH267" i="1"/>
  <c r="AQ275" i="1"/>
  <c r="AS275" i="1" s="1"/>
  <c r="AT275" i="1" s="1"/>
  <c r="AM278" i="1"/>
  <c r="AN278" i="1" s="1"/>
  <c r="AE279" i="1"/>
  <c r="AE281" i="1"/>
  <c r="AM281" i="1"/>
  <c r="AN281" i="1" s="1"/>
  <c r="S282" i="1"/>
  <c r="G282" i="1"/>
  <c r="F282" i="1" s="1"/>
  <c r="AL282" i="1" s="1"/>
  <c r="S285" i="1"/>
  <c r="G285" i="1"/>
  <c r="F285" i="1" s="1"/>
  <c r="AL285" i="1" s="1"/>
  <c r="AM285" i="1" s="1"/>
  <c r="AN285" i="1" s="1"/>
  <c r="M285" i="1"/>
  <c r="T285" i="1" s="1"/>
  <c r="AR285" i="1"/>
  <c r="S293" i="1"/>
  <c r="G293" i="1"/>
  <c r="F293" i="1" s="1"/>
  <c r="AL293" i="1" s="1"/>
  <c r="AM293" i="1" s="1"/>
  <c r="AN293" i="1" s="1"/>
  <c r="M293" i="1"/>
  <c r="T293" i="1" s="1"/>
  <c r="AR293" i="1"/>
  <c r="AI300" i="1"/>
  <c r="AH300" i="1"/>
  <c r="AG311" i="1"/>
  <c r="AN311" i="1"/>
  <c r="AG314" i="1"/>
  <c r="AN314" i="1"/>
  <c r="S204" i="1"/>
  <c r="AR204" i="1"/>
  <c r="S208" i="1"/>
  <c r="AR208" i="1"/>
  <c r="AM239" i="1"/>
  <c r="AN239" i="1" s="1"/>
  <c r="AM243" i="1"/>
  <c r="AN243" i="1" s="1"/>
  <c r="AM247" i="1"/>
  <c r="AN247" i="1" s="1"/>
  <c r="AM251" i="1"/>
  <c r="AN251" i="1" s="1"/>
  <c r="AE273" i="1"/>
  <c r="AM273" i="1"/>
  <c r="AN273" i="1" s="1"/>
  <c r="AR277" i="1"/>
  <c r="AF289" i="1"/>
  <c r="AE289" i="1"/>
  <c r="AM289" i="1"/>
  <c r="AN289" i="1" s="1"/>
  <c r="AS297" i="1"/>
  <c r="AT297" i="1" s="1"/>
  <c r="AG301" i="1"/>
  <c r="AN301" i="1"/>
  <c r="AG308" i="1"/>
  <c r="AN308" i="1"/>
  <c r="AG316" i="1"/>
  <c r="AN316" i="1"/>
  <c r="AG345" i="1"/>
  <c r="AN345" i="1"/>
  <c r="AO348" i="1"/>
  <c r="AP348" i="1"/>
  <c r="AN350" i="1"/>
  <c r="AG350" i="1"/>
  <c r="AR237" i="1"/>
  <c r="AS237" i="1" s="1"/>
  <c r="AT237" i="1" s="1"/>
  <c r="AE239" i="1"/>
  <c r="AR241" i="1"/>
  <c r="AS241" i="1" s="1"/>
  <c r="AT241" i="1" s="1"/>
  <c r="AE243" i="1"/>
  <c r="AR245" i="1"/>
  <c r="AS245" i="1" s="1"/>
  <c r="AT245" i="1" s="1"/>
  <c r="AE247" i="1"/>
  <c r="AR249" i="1"/>
  <c r="AS249" i="1" s="1"/>
  <c r="AT249" i="1" s="1"/>
  <c r="AE251" i="1"/>
  <c r="AQ277" i="1"/>
  <c r="AS277" i="1" s="1"/>
  <c r="AT277" i="1" s="1"/>
  <c r="AF282" i="1"/>
  <c r="AE282" i="1"/>
  <c r="AN296" i="1"/>
  <c r="AG296" i="1"/>
  <c r="AF239" i="1"/>
  <c r="AF243" i="1"/>
  <c r="AF247" i="1"/>
  <c r="AF251" i="1"/>
  <c r="AO270" i="1"/>
  <c r="S274" i="1"/>
  <c r="G274" i="1"/>
  <c r="F274" i="1" s="1"/>
  <c r="AL274" i="1" s="1"/>
  <c r="AM274" i="1" s="1"/>
  <c r="AN274" i="1" s="1"/>
  <c r="AF274" i="1"/>
  <c r="AR274" i="1"/>
  <c r="AF279" i="1"/>
  <c r="AM279" i="1"/>
  <c r="AN279" i="1" s="1"/>
  <c r="AQ282" i="1"/>
  <c r="AS282" i="1" s="1"/>
  <c r="AL289" i="1"/>
  <c r="AQ289" i="1"/>
  <c r="AS291" i="1"/>
  <c r="AT291" i="1" s="1"/>
  <c r="AP300" i="1"/>
  <c r="AO300" i="1"/>
  <c r="AH256" i="1"/>
  <c r="AO257" i="1"/>
  <c r="AH265" i="1"/>
  <c r="AH266" i="1"/>
  <c r="AH269" i="1"/>
  <c r="M274" i="1"/>
  <c r="T274" i="1" s="1"/>
  <c r="S279" i="1"/>
  <c r="AO283" i="1"/>
  <c r="AO286" i="1"/>
  <c r="AR289" i="1"/>
  <c r="AO294" i="1"/>
  <c r="AP295" i="1"/>
  <c r="AN299" i="1"/>
  <c r="AG299" i="1"/>
  <c r="AI307" i="1"/>
  <c r="AH307" i="1"/>
  <c r="S256" i="1"/>
  <c r="AF276" i="1"/>
  <c r="AE276" i="1"/>
  <c r="AF281" i="1"/>
  <c r="AR281" i="1"/>
  <c r="AM282" i="1"/>
  <c r="AN282" i="1" s="1"/>
  <c r="AQ286" i="1"/>
  <c r="AQ294" i="1"/>
  <c r="AS294" i="1" s="1"/>
  <c r="AT294" i="1" s="1"/>
  <c r="AS303" i="1"/>
  <c r="AT303" i="1" s="1"/>
  <c r="AO307" i="1"/>
  <c r="AP307" i="1"/>
  <c r="AG320" i="1"/>
  <c r="AN320" i="1"/>
  <c r="AS273" i="1"/>
  <c r="AT273" i="1" s="1"/>
  <c r="AF287" i="1"/>
  <c r="AE287" i="1"/>
  <c r="AM287" i="1"/>
  <c r="AN287" i="1" s="1"/>
  <c r="AI315" i="1"/>
  <c r="AH315" i="1"/>
  <c r="AR284" i="1"/>
  <c r="AS284" i="1" s="1"/>
  <c r="AT284" i="1" s="1"/>
  <c r="AR292" i="1"/>
  <c r="AS292" i="1" s="1"/>
  <c r="AT292" i="1" s="1"/>
  <c r="AS305" i="1"/>
  <c r="AT305" i="1" s="1"/>
  <c r="AI313" i="1"/>
  <c r="AH313" i="1"/>
  <c r="AG319" i="1"/>
  <c r="AN319" i="1"/>
  <c r="AT333" i="1"/>
  <c r="AN334" i="1"/>
  <c r="AG334" i="1"/>
  <c r="AN336" i="1"/>
  <c r="AG336" i="1"/>
  <c r="AN342" i="1"/>
  <c r="AG342" i="1"/>
  <c r="AP343" i="1"/>
  <c r="AO343" i="1"/>
  <c r="AO344" i="1"/>
  <c r="AP344" i="1"/>
  <c r="AN346" i="1"/>
  <c r="AG346" i="1"/>
  <c r="AT350" i="1"/>
  <c r="AR304" i="1"/>
  <c r="AP313" i="1"/>
  <c r="AO313" i="1"/>
  <c r="AT320" i="1"/>
  <c r="AG333" i="1"/>
  <c r="AN333" i="1"/>
  <c r="AG340" i="1"/>
  <c r="AN340" i="1"/>
  <c r="S360" i="1"/>
  <c r="M360" i="1"/>
  <c r="T360" i="1" s="1"/>
  <c r="AQ360" i="1"/>
  <c r="S372" i="1"/>
  <c r="M372" i="1"/>
  <c r="T372" i="1" s="1"/>
  <c r="AF277" i="1"/>
  <c r="AR278" i="1"/>
  <c r="AF285" i="1"/>
  <c r="AR286" i="1"/>
  <c r="AE290" i="1"/>
  <c r="AF293" i="1"/>
  <c r="AQ296" i="1"/>
  <c r="AS296" i="1" s="1"/>
  <c r="AT296" i="1" s="1"/>
  <c r="S297" i="1"/>
  <c r="AR299" i="1"/>
  <c r="AS299" i="1" s="1"/>
  <c r="AT299" i="1" s="1"/>
  <c r="AH302" i="1"/>
  <c r="M304" i="1"/>
  <c r="T304" i="1" s="1"/>
  <c r="AG304" i="1"/>
  <c r="AS308" i="1"/>
  <c r="AT308" i="1" s="1"/>
  <c r="AO309" i="1"/>
  <c r="AP310" i="1"/>
  <c r="AN315" i="1"/>
  <c r="AT316" i="1"/>
  <c r="AO317" i="1"/>
  <c r="AD318" i="1"/>
  <c r="AI321" i="1"/>
  <c r="AH321" i="1"/>
  <c r="AO322" i="1"/>
  <c r="AE327" i="1"/>
  <c r="AM327" i="1"/>
  <c r="AN330" i="1"/>
  <c r="AG330" i="1"/>
  <c r="AG332" i="1"/>
  <c r="AN332" i="1"/>
  <c r="AG337" i="1"/>
  <c r="AN337" i="1"/>
  <c r="AT340" i="1"/>
  <c r="AF359" i="1"/>
  <c r="AM359" i="1"/>
  <c r="AN359" i="1" s="1"/>
  <c r="AE359" i="1"/>
  <c r="AR359" i="1"/>
  <c r="AJ370" i="1"/>
  <c r="AI370" i="1"/>
  <c r="AH370" i="1"/>
  <c r="AM284" i="1"/>
  <c r="AN284" i="1" s="1"/>
  <c r="G288" i="1"/>
  <c r="F288" i="1" s="1"/>
  <c r="AF290" i="1"/>
  <c r="AM292" i="1"/>
  <c r="AN292" i="1" s="1"/>
  <c r="S296" i="1"/>
  <c r="S302" i="1"/>
  <c r="AR306" i="1"/>
  <c r="S306" i="1"/>
  <c r="M306" i="1"/>
  <c r="T306" i="1" s="1"/>
  <c r="AP321" i="1"/>
  <c r="AO321" i="1"/>
  <c r="AM325" i="1"/>
  <c r="AH335" i="1"/>
  <c r="AI335" i="1"/>
  <c r="AN338" i="1"/>
  <c r="AG338" i="1"/>
  <c r="AO347" i="1"/>
  <c r="AP347" i="1"/>
  <c r="AG354" i="1"/>
  <c r="AN354" i="1"/>
  <c r="AJ358" i="1"/>
  <c r="AI358" i="1"/>
  <c r="AH358" i="1"/>
  <c r="AE284" i="1"/>
  <c r="AE292" i="1"/>
  <c r="AO303" i="1"/>
  <c r="AQ304" i="1"/>
  <c r="AS304" i="1" s="1"/>
  <c r="AT304" i="1" s="1"/>
  <c r="AN306" i="1"/>
  <c r="AD313" i="1"/>
  <c r="AT315" i="1"/>
  <c r="AI323" i="1"/>
  <c r="AG324" i="1"/>
  <c r="AN324" i="1"/>
  <c r="AR325" i="1"/>
  <c r="AS325" i="1" s="1"/>
  <c r="AT325" i="1" s="1"/>
  <c r="AT336" i="1"/>
  <c r="AT338" i="1"/>
  <c r="AG341" i="1"/>
  <c r="AN341" i="1"/>
  <c r="AH343" i="1"/>
  <c r="AI343" i="1"/>
  <c r="AR357" i="1"/>
  <c r="AS357" i="1" s="1"/>
  <c r="AT357" i="1" s="1"/>
  <c r="AF357" i="1"/>
  <c r="AM357" i="1"/>
  <c r="AN357" i="1" s="1"/>
  <c r="AE357" i="1"/>
  <c r="G290" i="1"/>
  <c r="F290" i="1" s="1"/>
  <c r="AL290" i="1" s="1"/>
  <c r="AM290" i="1" s="1"/>
  <c r="AN290" i="1" s="1"/>
  <c r="M300" i="1"/>
  <c r="T300" i="1" s="1"/>
  <c r="AR301" i="1"/>
  <c r="AS301" i="1" s="1"/>
  <c r="AT301" i="1" s="1"/>
  <c r="S305" i="1"/>
  <c r="AS311" i="1"/>
  <c r="AT311" i="1" s="1"/>
  <c r="AG312" i="1"/>
  <c r="AN312" i="1"/>
  <c r="AG318" i="1"/>
  <c r="AG322" i="1"/>
  <c r="AR327" i="1"/>
  <c r="AS327" i="1" s="1"/>
  <c r="AT327" i="1" s="1"/>
  <c r="AI328" i="1"/>
  <c r="AH328" i="1"/>
  <c r="AG305" i="1"/>
  <c r="AN305" i="1"/>
  <c r="AQ306" i="1"/>
  <c r="AS306" i="1" s="1"/>
  <c r="AT306" i="1" s="1"/>
  <c r="AG310" i="1"/>
  <c r="AN331" i="1"/>
  <c r="AG331" i="1"/>
  <c r="AN335" i="1"/>
  <c r="AP339" i="1"/>
  <c r="AO339" i="1"/>
  <c r="AT345" i="1"/>
  <c r="AI348" i="1"/>
  <c r="AH348" i="1"/>
  <c r="AE322" i="1"/>
  <c r="AR324" i="1"/>
  <c r="AS324" i="1" s="1"/>
  <c r="AT324" i="1" s="1"/>
  <c r="AG339" i="1"/>
  <c r="AG344" i="1"/>
  <c r="AG347" i="1"/>
  <c r="AD353" i="1"/>
  <c r="AR364" i="1"/>
  <c r="AF364" i="1"/>
  <c r="AM364" i="1"/>
  <c r="AN364" i="1" s="1"/>
  <c r="AE364" i="1"/>
  <c r="AQ366" i="1"/>
  <c r="AS366" i="1" s="1"/>
  <c r="AT366" i="1" s="1"/>
  <c r="M376" i="1"/>
  <c r="T376" i="1" s="1"/>
  <c r="AQ376" i="1"/>
  <c r="S376" i="1"/>
  <c r="AI355" i="1"/>
  <c r="AH355" i="1"/>
  <c r="AS359" i="1"/>
  <c r="AT359" i="1" s="1"/>
  <c r="AF361" i="1"/>
  <c r="AM361" i="1"/>
  <c r="AN361" i="1" s="1"/>
  <c r="AE361" i="1"/>
  <c r="S366" i="1"/>
  <c r="M366" i="1"/>
  <c r="T366" i="1" s="1"/>
  <c r="AR323" i="1"/>
  <c r="AS323" i="1" s="1"/>
  <c r="AT323" i="1" s="1"/>
  <c r="AN329" i="1"/>
  <c r="AQ341" i="1"/>
  <c r="AS341" i="1" s="1"/>
  <c r="AT341" i="1" s="1"/>
  <c r="AN349" i="1"/>
  <c r="AR353" i="1"/>
  <c r="AS353" i="1" s="1"/>
  <c r="AT353" i="1" s="1"/>
  <c r="S353" i="1"/>
  <c r="M353" i="1"/>
  <c r="T353" i="1" s="1"/>
  <c r="AN355" i="1"/>
  <c r="AQ331" i="1"/>
  <c r="AS331" i="1" s="1"/>
  <c r="AT331" i="1" s="1"/>
  <c r="AS334" i="1"/>
  <c r="AT334" i="1" s="1"/>
  <c r="M352" i="1"/>
  <c r="T352" i="1" s="1"/>
  <c r="AR352" i="1"/>
  <c r="S352" i="1"/>
  <c r="AQ352" i="1"/>
  <c r="AS352" i="1" s="1"/>
  <c r="AT352" i="1" s="1"/>
  <c r="AP362" i="1"/>
  <c r="AO362" i="1"/>
  <c r="AS364" i="1"/>
  <c r="AT364" i="1" s="1"/>
  <c r="AS365" i="1"/>
  <c r="AJ371" i="1"/>
  <c r="AI371" i="1"/>
  <c r="AH371" i="1"/>
  <c r="AR376" i="1"/>
  <c r="AF389" i="1"/>
  <c r="AM389" i="1"/>
  <c r="AN389" i="1" s="1"/>
  <c r="AE389" i="1"/>
  <c r="AR389" i="1"/>
  <c r="AI352" i="1"/>
  <c r="AH352" i="1"/>
  <c r="L356" i="1"/>
  <c r="AJ356" i="1"/>
  <c r="AF360" i="1"/>
  <c r="AM360" i="1"/>
  <c r="AN360" i="1" s="1"/>
  <c r="AE360" i="1"/>
  <c r="AR360" i="1"/>
  <c r="AR361" i="1"/>
  <c r="AS361" i="1" s="1"/>
  <c r="AT361" i="1" s="1"/>
  <c r="L363" i="1"/>
  <c r="AJ363" i="1"/>
  <c r="AP367" i="1"/>
  <c r="AO367" i="1"/>
  <c r="AH373" i="1"/>
  <c r="AJ373" i="1"/>
  <c r="AI373" i="1"/>
  <c r="AQ335" i="1"/>
  <c r="AS335" i="1" s="1"/>
  <c r="AT335" i="1" s="1"/>
  <c r="AS342" i="1"/>
  <c r="AT342" i="1" s="1"/>
  <c r="AN352" i="1"/>
  <c r="AG353" i="1"/>
  <c r="AN353" i="1"/>
  <c r="M362" i="1"/>
  <c r="T362" i="1" s="1"/>
  <c r="AQ362" i="1"/>
  <c r="AS362" i="1" s="1"/>
  <c r="AT362" i="1" s="1"/>
  <c r="S362" i="1"/>
  <c r="AF365" i="1"/>
  <c r="AE365" i="1"/>
  <c r="AM365" i="1"/>
  <c r="AN365" i="1" s="1"/>
  <c r="AR365" i="1"/>
  <c r="AR366" i="1"/>
  <c r="AF366" i="1"/>
  <c r="AM366" i="1"/>
  <c r="AN366" i="1" s="1"/>
  <c r="AE366" i="1"/>
  <c r="AR369" i="1"/>
  <c r="AS369" i="1" s="1"/>
  <c r="AT369" i="1" s="1"/>
  <c r="AF369" i="1"/>
  <c r="AM369" i="1"/>
  <c r="AN369" i="1" s="1"/>
  <c r="AE369" i="1"/>
  <c r="AI372" i="1"/>
  <c r="AJ372" i="1"/>
  <c r="AH372" i="1"/>
  <c r="AM384" i="1"/>
  <c r="AN384" i="1" s="1"/>
  <c r="AE384" i="1"/>
  <c r="AR384" i="1"/>
  <c r="AF384" i="1"/>
  <c r="AR354" i="1"/>
  <c r="AS354" i="1" s="1"/>
  <c r="AT354" i="1" s="1"/>
  <c r="AI359" i="1"/>
  <c r="AF362" i="1"/>
  <c r="AJ368" i="1"/>
  <c r="AJ374" i="1"/>
  <c r="AM377" i="1"/>
  <c r="AN377" i="1" s="1"/>
  <c r="AE377" i="1"/>
  <c r="AF379" i="1"/>
  <c r="M382" i="1"/>
  <c r="T382" i="1" s="1"/>
  <c r="AQ382" i="1"/>
  <c r="AS382" i="1" s="1"/>
  <c r="AT382" i="1" s="1"/>
  <c r="AF382" i="1"/>
  <c r="S389" i="1"/>
  <c r="M389" i="1"/>
  <c r="T389" i="1" s="1"/>
  <c r="AQ389" i="1"/>
  <c r="AS389" i="1" s="1"/>
  <c r="AT389" i="1" s="1"/>
  <c r="AE410" i="1"/>
  <c r="AR410" i="1"/>
  <c r="AF410" i="1"/>
  <c r="AM410" i="1"/>
  <c r="AN410" i="1" s="1"/>
  <c r="Q372" i="1"/>
  <c r="AM380" i="1"/>
  <c r="AN380" i="1" s="1"/>
  <c r="AE380" i="1"/>
  <c r="AM383" i="1"/>
  <c r="AN383" i="1" s="1"/>
  <c r="AE383" i="1"/>
  <c r="AF385" i="1"/>
  <c r="AM385" i="1"/>
  <c r="AN385" i="1" s="1"/>
  <c r="AE385" i="1"/>
  <c r="S392" i="1"/>
  <c r="AM393" i="1"/>
  <c r="AN393" i="1" s="1"/>
  <c r="S395" i="1"/>
  <c r="M395" i="1"/>
  <c r="T395" i="1" s="1"/>
  <c r="AQ395" i="1"/>
  <c r="AN403" i="1"/>
  <c r="AG403" i="1"/>
  <c r="AE422" i="1"/>
  <c r="AR422" i="1"/>
  <c r="AM423" i="1"/>
  <c r="AE423" i="1"/>
  <c r="AR423" i="1"/>
  <c r="S367" i="1"/>
  <c r="AQ372" i="1"/>
  <c r="AQ374" i="1"/>
  <c r="S374" i="1"/>
  <c r="AR375" i="1"/>
  <c r="M378" i="1"/>
  <c r="T378" i="1" s="1"/>
  <c r="AQ378" i="1"/>
  <c r="AS378" i="1" s="1"/>
  <c r="AF378" i="1"/>
  <c r="S383" i="1"/>
  <c r="AQ383" i="1"/>
  <c r="M386" i="1"/>
  <c r="T386" i="1" s="1"/>
  <c r="AQ386" i="1"/>
  <c r="AS386" i="1" s="1"/>
  <c r="S386" i="1"/>
  <c r="AQ392" i="1"/>
  <c r="AT397" i="1"/>
  <c r="AG408" i="1"/>
  <c r="AN408" i="1"/>
  <c r="AN351" i="1"/>
  <c r="AH357" i="1"/>
  <c r="AM376" i="1"/>
  <c r="AN376" i="1" s="1"/>
  <c r="AE376" i="1"/>
  <c r="AM379" i="1"/>
  <c r="AN379" i="1" s="1"/>
  <c r="AE379" i="1"/>
  <c r="AF381" i="1"/>
  <c r="M384" i="1"/>
  <c r="T384" i="1" s="1"/>
  <c r="AQ384" i="1"/>
  <c r="M390" i="1"/>
  <c r="T390" i="1" s="1"/>
  <c r="S390" i="1"/>
  <c r="S391" i="1"/>
  <c r="AQ391" i="1"/>
  <c r="AS391" i="1" s="1"/>
  <c r="M391" i="1"/>
  <c r="T391" i="1" s="1"/>
  <c r="AN409" i="1"/>
  <c r="AG409" i="1"/>
  <c r="AP411" i="1"/>
  <c r="AO411" i="1"/>
  <c r="AP413" i="1"/>
  <c r="AO413" i="1"/>
  <c r="S361" i="1"/>
  <c r="AS379" i="1"/>
  <c r="AT379" i="1" s="1"/>
  <c r="AM382" i="1"/>
  <c r="AN382" i="1" s="1"/>
  <c r="AE382" i="1"/>
  <c r="AP387" i="1"/>
  <c r="AO387" i="1"/>
  <c r="AJ390" i="1"/>
  <c r="AI390" i="1"/>
  <c r="AH390" i="1"/>
  <c r="M374" i="1"/>
  <c r="T374" i="1" s="1"/>
  <c r="AM375" i="1"/>
  <c r="AN375" i="1" s="1"/>
  <c r="AE375" i="1"/>
  <c r="AF377" i="1"/>
  <c r="AR377" i="1"/>
  <c r="AS377" i="1" s="1"/>
  <c r="AT377" i="1" s="1"/>
  <c r="M380" i="1"/>
  <c r="T380" i="1" s="1"/>
  <c r="AQ380" i="1"/>
  <c r="AS380" i="1" s="1"/>
  <c r="AT380" i="1" s="1"/>
  <c r="AF380" i="1"/>
  <c r="AR385" i="1"/>
  <c r="AS385" i="1" s="1"/>
  <c r="AT385" i="1" s="1"/>
  <c r="AM386" i="1"/>
  <c r="AN386" i="1" s="1"/>
  <c r="AE386" i="1"/>
  <c r="AQ390" i="1"/>
  <c r="AF394" i="1"/>
  <c r="AR394" i="1"/>
  <c r="AE394" i="1"/>
  <c r="AM394" i="1"/>
  <c r="AN394" i="1" s="1"/>
  <c r="AG406" i="1"/>
  <c r="AN406" i="1"/>
  <c r="AS375" i="1"/>
  <c r="AM378" i="1"/>
  <c r="AN378" i="1" s="1"/>
  <c r="AE378" i="1"/>
  <c r="AM381" i="1"/>
  <c r="AN381" i="1" s="1"/>
  <c r="AE381" i="1"/>
  <c r="AR383" i="1"/>
  <c r="AR393" i="1"/>
  <c r="AS393" i="1" s="1"/>
  <c r="AT393" i="1" s="1"/>
  <c r="AF393" i="1"/>
  <c r="AH402" i="1"/>
  <c r="AI402" i="1"/>
  <c r="AQ388" i="1"/>
  <c r="AM391" i="1"/>
  <c r="AN391" i="1" s="1"/>
  <c r="AJ396" i="1"/>
  <c r="AE397" i="1"/>
  <c r="AM397" i="1"/>
  <c r="AN397" i="1" s="1"/>
  <c r="AM398" i="1"/>
  <c r="AN398" i="1" s="1"/>
  <c r="AG400" i="1"/>
  <c r="AE407" i="1"/>
  <c r="AR407" i="1"/>
  <c r="AS407" i="1" s="1"/>
  <c r="AT407" i="1" s="1"/>
  <c r="AR388" i="1"/>
  <c r="AE391" i="1"/>
  <c r="AF397" i="1"/>
  <c r="AM401" i="1"/>
  <c r="AE401" i="1"/>
  <c r="AH404" i="1"/>
  <c r="AG407" i="1"/>
  <c r="AQ408" i="1"/>
  <c r="AS408" i="1" s="1"/>
  <c r="AT408" i="1" s="1"/>
  <c r="AT414" i="1"/>
  <c r="AG419" i="1"/>
  <c r="AN419" i="1"/>
  <c r="AF420" i="1"/>
  <c r="AR420" i="1"/>
  <c r="AE420" i="1"/>
  <c r="AM420" i="1"/>
  <c r="AN420" i="1" s="1"/>
  <c r="AS424" i="1"/>
  <c r="AF391" i="1"/>
  <c r="AH393" i="1"/>
  <c r="M394" i="1"/>
  <c r="T394" i="1" s="1"/>
  <c r="AJ395" i="1"/>
  <c r="S396" i="1"/>
  <c r="AI396" i="1"/>
  <c r="M398" i="1"/>
  <c r="T398" i="1" s="1"/>
  <c r="AE398" i="1"/>
  <c r="AR403" i="1"/>
  <c r="AS403" i="1" s="1"/>
  <c r="AT403" i="1" s="1"/>
  <c r="AN404" i="1"/>
  <c r="AM405" i="1"/>
  <c r="AQ409" i="1"/>
  <c r="AS409" i="1" s="1"/>
  <c r="AT409" i="1" s="1"/>
  <c r="AS420" i="1"/>
  <c r="AI427" i="1"/>
  <c r="AH427" i="1"/>
  <c r="AR387" i="1"/>
  <c r="AS387" i="1" s="1"/>
  <c r="AT387" i="1" s="1"/>
  <c r="S393" i="1"/>
  <c r="AI393" i="1"/>
  <c r="AR398" i="1"/>
  <c r="AR409" i="1"/>
  <c r="AS410" i="1"/>
  <c r="AT410" i="1" s="1"/>
  <c r="AH416" i="1"/>
  <c r="AI416" i="1"/>
  <c r="AM421" i="1"/>
  <c r="AE421" i="1"/>
  <c r="AE424" i="1"/>
  <c r="AR424" i="1"/>
  <c r="AE388" i="1"/>
  <c r="AM388" i="1"/>
  <c r="AN388" i="1" s="1"/>
  <c r="AI391" i="1"/>
  <c r="AH398" i="1"/>
  <c r="AN399" i="1"/>
  <c r="AO402" i="1"/>
  <c r="AQ405" i="1"/>
  <c r="AS405" i="1" s="1"/>
  <c r="AT405" i="1" s="1"/>
  <c r="S407" i="1"/>
  <c r="AQ411" i="1"/>
  <c r="AQ412" i="1"/>
  <c r="AS412" i="1" s="1"/>
  <c r="AT412" i="1" s="1"/>
  <c r="AQ413" i="1"/>
  <c r="AS413" i="1" s="1"/>
  <c r="AT413" i="1" s="1"/>
  <c r="AN416" i="1"/>
  <c r="AR421" i="1"/>
  <c r="AQ394" i="1"/>
  <c r="AS394" i="1" s="1"/>
  <c r="AT394" i="1" s="1"/>
  <c r="AP407" i="1"/>
  <c r="AF411" i="1"/>
  <c r="AF412" i="1"/>
  <c r="AF413" i="1"/>
  <c r="AF414" i="1"/>
  <c r="AR415" i="1"/>
  <c r="AS415" i="1" s="1"/>
  <c r="AT415" i="1" s="1"/>
  <c r="AF415" i="1"/>
  <c r="AE415" i="1"/>
  <c r="AM415" i="1"/>
  <c r="AN415" i="1" s="1"/>
  <c r="AT416" i="1"/>
  <c r="AG418" i="1"/>
  <c r="AN418" i="1"/>
  <c r="AS422" i="1"/>
  <c r="AG425" i="1"/>
  <c r="AN425" i="1"/>
  <c r="AE387" i="1"/>
  <c r="AJ392" i="1"/>
  <c r="AD393" i="1"/>
  <c r="AQ398" i="1"/>
  <c r="AS398" i="1" s="1"/>
  <c r="AT398" i="1" s="1"/>
  <c r="AO400" i="1"/>
  <c r="AR401" i="1"/>
  <c r="AS401" i="1" s="1"/>
  <c r="AT401" i="1" s="1"/>
  <c r="AI404" i="1"/>
  <c r="AO407" i="1"/>
  <c r="AR417" i="1"/>
  <c r="AS417" i="1" s="1"/>
  <c r="AT417" i="1" s="1"/>
  <c r="AE417" i="1"/>
  <c r="AM417" i="1"/>
  <c r="AT425" i="1"/>
  <c r="AI426" i="1"/>
  <c r="AH426" i="1"/>
  <c r="AE418" i="1"/>
  <c r="AI420" i="1"/>
  <c r="AH420" i="1"/>
  <c r="AS433" i="1"/>
  <c r="AT433" i="1" s="1"/>
  <c r="AG437" i="1"/>
  <c r="AN437" i="1"/>
  <c r="AS442" i="1"/>
  <c r="AT442" i="1" s="1"/>
  <c r="AQ419" i="1"/>
  <c r="AL422" i="1"/>
  <c r="AM422" i="1" s="1"/>
  <c r="K422" i="1"/>
  <c r="AL424" i="1"/>
  <c r="AM424" i="1" s="1"/>
  <c r="K424" i="1"/>
  <c r="AE431" i="1"/>
  <c r="AM431" i="1"/>
  <c r="AG433" i="1"/>
  <c r="AN433" i="1"/>
  <c r="AI435" i="1"/>
  <c r="AH435" i="1"/>
  <c r="AG436" i="1"/>
  <c r="AE441" i="1"/>
  <c r="AM441" i="1"/>
  <c r="AG445" i="1"/>
  <c r="AN445" i="1"/>
  <c r="AR411" i="1"/>
  <c r="AR412" i="1"/>
  <c r="AR413" i="1"/>
  <c r="AR419" i="1"/>
  <c r="S422" i="1"/>
  <c r="M422" i="1"/>
  <c r="T422" i="1" s="1"/>
  <c r="S424" i="1"/>
  <c r="M424" i="1"/>
  <c r="T424" i="1" s="1"/>
  <c r="AP435" i="1"/>
  <c r="AO435" i="1"/>
  <c r="I421" i="1"/>
  <c r="I423" i="1"/>
  <c r="AP427" i="1"/>
  <c r="AD432" i="1"/>
  <c r="AS436" i="1"/>
  <c r="AT436" i="1" s="1"/>
  <c r="T446" i="1"/>
  <c r="S446" i="1"/>
  <c r="AI447" i="1"/>
  <c r="AH447" i="1"/>
  <c r="AK421" i="1"/>
  <c r="AQ421" i="1" s="1"/>
  <c r="AS421" i="1" s="1"/>
  <c r="Q422" i="1"/>
  <c r="AK423" i="1"/>
  <c r="AQ423" i="1" s="1"/>
  <c r="AS423" i="1" s="1"/>
  <c r="AT423" i="1" s="1"/>
  <c r="Q424" i="1"/>
  <c r="AS431" i="1"/>
  <c r="AS441" i="1"/>
  <c r="AT441" i="1" s="1"/>
  <c r="AI446" i="1"/>
  <c r="AH446" i="1"/>
  <c r="AS449" i="1"/>
  <c r="AT449" i="1" s="1"/>
  <c r="AE450" i="1"/>
  <c r="AM450" i="1"/>
  <c r="AT450" i="1" s="1"/>
  <c r="AT453" i="1"/>
  <c r="K421" i="1"/>
  <c r="K423" i="1"/>
  <c r="AS429" i="1"/>
  <c r="AT429" i="1" s="1"/>
  <c r="AG434" i="1"/>
  <c r="AN434" i="1"/>
  <c r="AO436" i="1"/>
  <c r="AE442" i="1"/>
  <c r="AM442" i="1"/>
  <c r="AG444" i="1"/>
  <c r="AN444" i="1"/>
  <c r="AP446" i="1"/>
  <c r="AO446" i="1"/>
  <c r="S421" i="1"/>
  <c r="M421" i="1"/>
  <c r="T421" i="1" s="1"/>
  <c r="S423" i="1"/>
  <c r="M423" i="1"/>
  <c r="T423" i="1" s="1"/>
  <c r="AO426" i="1"/>
  <c r="AH428" i="1"/>
  <c r="AH429" i="1"/>
  <c r="AS434" i="1"/>
  <c r="AT434" i="1" s="1"/>
  <c r="AT444" i="1"/>
  <c r="AG453" i="1"/>
  <c r="AN453" i="1"/>
  <c r="AE434" i="1"/>
  <c r="S438" i="1"/>
  <c r="AQ438" i="1"/>
  <c r="S439" i="1"/>
  <c r="AQ439" i="1"/>
  <c r="AS439" i="1" s="1"/>
  <c r="AR440" i="1"/>
  <c r="AS440" i="1" s="1"/>
  <c r="AT440" i="1" s="1"/>
  <c r="AE445" i="1"/>
  <c r="AR449" i="1"/>
  <c r="AM452" i="1"/>
  <c r="AT452" i="1" s="1"/>
  <c r="AE453" i="1"/>
  <c r="AR428" i="1"/>
  <c r="AS428" i="1" s="1"/>
  <c r="AT428" i="1" s="1"/>
  <c r="AR429" i="1"/>
  <c r="AM432" i="1"/>
  <c r="AR437" i="1"/>
  <c r="AS437" i="1" s="1"/>
  <c r="AT437" i="1" s="1"/>
  <c r="AR438" i="1"/>
  <c r="AR439" i="1"/>
  <c r="AM443" i="1"/>
  <c r="AR448" i="1"/>
  <c r="AS448" i="1" s="1"/>
  <c r="AT448" i="1" s="1"/>
  <c r="AM451" i="1"/>
  <c r="AT451" i="1" s="1"/>
  <c r="AE452" i="1"/>
  <c r="AR426" i="1"/>
  <c r="AS426" i="1" s="1"/>
  <c r="AT426" i="1" s="1"/>
  <c r="AR427" i="1"/>
  <c r="AS427" i="1" s="1"/>
  <c r="AT427" i="1" s="1"/>
  <c r="AE432" i="1"/>
  <c r="AR436" i="1"/>
  <c r="AE443" i="1"/>
  <c r="AR447" i="1"/>
  <c r="AS447" i="1" s="1"/>
  <c r="AT447" i="1" s="1"/>
  <c r="AE451" i="1"/>
  <c r="AM449" i="1"/>
  <c r="AN430" i="1"/>
  <c r="AM438" i="1"/>
  <c r="AM439" i="1"/>
  <c r="AM448" i="1"/>
  <c r="AT42" i="1" l="1"/>
  <c r="AP274" i="1"/>
  <c r="AO274" i="1"/>
  <c r="AG42" i="1"/>
  <c r="AN42" i="1"/>
  <c r="AG424" i="1"/>
  <c r="AN424" i="1"/>
  <c r="AQ85" i="1"/>
  <c r="AS85" i="1" s="1"/>
  <c r="AT85" i="1" s="1"/>
  <c r="AG422" i="1"/>
  <c r="AN422" i="1"/>
  <c r="AI453" i="1"/>
  <c r="AH453" i="1"/>
  <c r="AP433" i="1"/>
  <c r="AO433" i="1"/>
  <c r="AS419" i="1"/>
  <c r="AT419" i="1" s="1"/>
  <c r="AT422" i="1"/>
  <c r="AS388" i="1"/>
  <c r="AT388" i="1" s="1"/>
  <c r="AF390" i="1"/>
  <c r="AE390" i="1"/>
  <c r="AM390" i="1"/>
  <c r="AN390" i="1" s="1"/>
  <c r="AR390" i="1"/>
  <c r="AO376" i="1"/>
  <c r="AP376" i="1"/>
  <c r="AT378" i="1"/>
  <c r="AO383" i="1"/>
  <c r="AP383" i="1"/>
  <c r="AP369" i="1"/>
  <c r="AO369" i="1"/>
  <c r="AO365" i="1"/>
  <c r="AP365" i="1"/>
  <c r="AP352" i="1"/>
  <c r="AO352" i="1"/>
  <c r="AF363" i="1"/>
  <c r="AE363" i="1"/>
  <c r="AM363" i="1"/>
  <c r="AN363" i="1" s="1"/>
  <c r="AR363" i="1"/>
  <c r="M356" i="1"/>
  <c r="T356" i="1" s="1"/>
  <c r="AQ356" i="1"/>
  <c r="S356" i="1"/>
  <c r="AO331" i="1"/>
  <c r="AP331" i="1"/>
  <c r="AP341" i="1"/>
  <c r="AO341" i="1"/>
  <c r="AH337" i="1"/>
  <c r="AI337" i="1"/>
  <c r="AS360" i="1"/>
  <c r="AT360" i="1" s="1"/>
  <c r="AI334" i="1"/>
  <c r="AH334" i="1"/>
  <c r="AP282" i="1"/>
  <c r="AO282" i="1"/>
  <c r="AI296" i="1"/>
  <c r="AH296" i="1"/>
  <c r="AH301" i="1"/>
  <c r="AI301" i="1"/>
  <c r="AI311" i="1"/>
  <c r="AH311" i="1"/>
  <c r="AP278" i="1"/>
  <c r="AO278" i="1"/>
  <c r="AI216" i="1"/>
  <c r="AH216" i="1"/>
  <c r="AP214" i="1"/>
  <c r="AO214" i="1"/>
  <c r="AN199" i="1"/>
  <c r="AG199" i="1"/>
  <c r="AN196" i="1"/>
  <c r="AG196" i="1"/>
  <c r="AP190" i="1"/>
  <c r="AO190" i="1"/>
  <c r="AP137" i="1"/>
  <c r="AO137" i="1"/>
  <c r="AP201" i="1"/>
  <c r="AO201" i="1"/>
  <c r="AI203" i="1"/>
  <c r="AH203" i="1"/>
  <c r="AQ274" i="1"/>
  <c r="AS274" i="1" s="1"/>
  <c r="AT274" i="1" s="1"/>
  <c r="AP158" i="1"/>
  <c r="AO158" i="1"/>
  <c r="AO161" i="1"/>
  <c r="AP161" i="1"/>
  <c r="AP118" i="1"/>
  <c r="AO118" i="1"/>
  <c r="AG147" i="1"/>
  <c r="AN147" i="1"/>
  <c r="AP95" i="1"/>
  <c r="AO95" i="1"/>
  <c r="AG163" i="1"/>
  <c r="AN163" i="1"/>
  <c r="AG89" i="1"/>
  <c r="AN89" i="1"/>
  <c r="AI162" i="1"/>
  <c r="AH162" i="1"/>
  <c r="AP106" i="1"/>
  <c r="AO106" i="1"/>
  <c r="AH145" i="1"/>
  <c r="AI145" i="1"/>
  <c r="AO108" i="1"/>
  <c r="AP108" i="1"/>
  <c r="AP129" i="1"/>
  <c r="AO129" i="1"/>
  <c r="AN87" i="1"/>
  <c r="AG87" i="1"/>
  <c r="AO141" i="1"/>
  <c r="AP141" i="1"/>
  <c r="AS86" i="1"/>
  <c r="AT86" i="1" s="1"/>
  <c r="AL65" i="1"/>
  <c r="AM65" i="1" s="1"/>
  <c r="AN65" i="1" s="1"/>
  <c r="AT130" i="1"/>
  <c r="G81" i="1"/>
  <c r="AL81" i="1" s="1"/>
  <c r="AI96" i="1"/>
  <c r="AH96" i="1"/>
  <c r="AP40" i="1"/>
  <c r="AO40" i="1"/>
  <c r="AI433" i="1"/>
  <c r="AH433" i="1"/>
  <c r="AP418" i="1"/>
  <c r="AO418" i="1"/>
  <c r="AO388" i="1"/>
  <c r="AP388" i="1"/>
  <c r="AG421" i="1"/>
  <c r="AN421" i="1"/>
  <c r="AP419" i="1"/>
  <c r="AO419" i="1"/>
  <c r="AO378" i="1"/>
  <c r="AP378" i="1"/>
  <c r="AG423" i="1"/>
  <c r="AN423" i="1"/>
  <c r="AO377" i="1"/>
  <c r="AP377" i="1"/>
  <c r="M363" i="1"/>
  <c r="T363" i="1" s="1"/>
  <c r="S363" i="1"/>
  <c r="AQ363" i="1"/>
  <c r="AS363" i="1" s="1"/>
  <c r="AT363" i="1" s="1"/>
  <c r="AI310" i="1"/>
  <c r="AH310" i="1"/>
  <c r="AI322" i="1"/>
  <c r="AH322" i="1"/>
  <c r="AP290" i="1"/>
  <c r="AO290" i="1"/>
  <c r="AH341" i="1"/>
  <c r="AI341" i="1"/>
  <c r="AF358" i="1"/>
  <c r="AM358" i="1"/>
  <c r="AN358" i="1" s="1"/>
  <c r="AE358" i="1"/>
  <c r="AR358" i="1"/>
  <c r="AS358" i="1" s="1"/>
  <c r="AT358" i="1" s="1"/>
  <c r="AF370" i="1"/>
  <c r="AM370" i="1"/>
  <c r="AN370" i="1" s="1"/>
  <c r="AE370" i="1"/>
  <c r="AR370" i="1"/>
  <c r="AS370" i="1" s="1"/>
  <c r="AT370" i="1" s="1"/>
  <c r="AO332" i="1"/>
  <c r="AP332" i="1"/>
  <c r="AP334" i="1"/>
  <c r="AO334" i="1"/>
  <c r="AP320" i="1"/>
  <c r="AO320" i="1"/>
  <c r="AI299" i="1"/>
  <c r="AH299" i="1"/>
  <c r="AO296" i="1"/>
  <c r="AP296" i="1"/>
  <c r="AP345" i="1"/>
  <c r="AO345" i="1"/>
  <c r="AP285" i="1"/>
  <c r="AO285" i="1"/>
  <c r="AP275" i="1"/>
  <c r="AO275" i="1"/>
  <c r="AH195" i="1"/>
  <c r="AI195" i="1"/>
  <c r="AT247" i="1"/>
  <c r="AP228" i="1"/>
  <c r="AO228" i="1"/>
  <c r="AP185" i="1"/>
  <c r="AO185" i="1"/>
  <c r="AI226" i="1"/>
  <c r="AH226" i="1"/>
  <c r="AP175" i="1"/>
  <c r="AO175" i="1"/>
  <c r="AP105" i="1"/>
  <c r="AO105" i="1"/>
  <c r="AI201" i="1"/>
  <c r="AH201" i="1"/>
  <c r="AP184" i="1"/>
  <c r="AO184" i="1"/>
  <c r="AG153" i="1"/>
  <c r="AN153" i="1"/>
  <c r="AG171" i="1"/>
  <c r="AN171" i="1"/>
  <c r="AI161" i="1"/>
  <c r="AH161" i="1"/>
  <c r="AT176" i="1"/>
  <c r="AO80" i="1"/>
  <c r="AP80" i="1"/>
  <c r="AO159" i="1"/>
  <c r="AP159" i="1"/>
  <c r="AT135" i="1"/>
  <c r="AL71" i="1"/>
  <c r="AI141" i="1"/>
  <c r="AH141" i="1"/>
  <c r="AS80" i="1"/>
  <c r="AT80" i="1" s="1"/>
  <c r="AP67" i="1"/>
  <c r="AO67" i="1"/>
  <c r="AS82" i="1"/>
  <c r="AT82" i="1" s="1"/>
  <c r="AO8" i="1"/>
  <c r="AP8" i="1"/>
  <c r="AP44" i="1"/>
  <c r="AO44" i="1"/>
  <c r="AT126" i="1"/>
  <c r="AP58" i="1"/>
  <c r="AO58" i="1"/>
  <c r="AO96" i="1"/>
  <c r="AP96" i="1"/>
  <c r="AP445" i="1"/>
  <c r="AO445" i="1"/>
  <c r="AG432" i="1"/>
  <c r="AN432" i="1"/>
  <c r="AI445" i="1"/>
  <c r="AH445" i="1"/>
  <c r="AO437" i="1"/>
  <c r="AP437" i="1"/>
  <c r="AH418" i="1"/>
  <c r="AI418" i="1"/>
  <c r="AS411" i="1"/>
  <c r="AT411" i="1" s="1"/>
  <c r="AH419" i="1"/>
  <c r="AI419" i="1"/>
  <c r="AG401" i="1"/>
  <c r="AN401" i="1"/>
  <c r="AH400" i="1"/>
  <c r="AI400" i="1"/>
  <c r="AT375" i="1"/>
  <c r="AS390" i="1"/>
  <c r="AT390" i="1" s="1"/>
  <c r="AS384" i="1"/>
  <c r="AT384" i="1" s="1"/>
  <c r="AP351" i="1"/>
  <c r="AO351" i="1"/>
  <c r="AT386" i="1"/>
  <c r="AP393" i="1"/>
  <c r="AO393" i="1"/>
  <c r="AO380" i="1"/>
  <c r="AP380" i="1"/>
  <c r="AM374" i="1"/>
  <c r="AN374" i="1" s="1"/>
  <c r="AE374" i="1"/>
  <c r="AR374" i="1"/>
  <c r="AF374" i="1"/>
  <c r="AO384" i="1"/>
  <c r="AP384" i="1"/>
  <c r="AR371" i="1"/>
  <c r="AS371" i="1" s="1"/>
  <c r="AF371" i="1"/>
  <c r="AE371" i="1"/>
  <c r="AM371" i="1"/>
  <c r="AN371" i="1" s="1"/>
  <c r="AS376" i="1"/>
  <c r="AT376" i="1" s="1"/>
  <c r="AI318" i="1"/>
  <c r="AH318" i="1"/>
  <c r="AP306" i="1"/>
  <c r="AO306" i="1"/>
  <c r="AO354" i="1"/>
  <c r="AP354" i="1"/>
  <c r="AG325" i="1"/>
  <c r="AN325" i="1"/>
  <c r="AP292" i="1"/>
  <c r="AO292" i="1"/>
  <c r="AI332" i="1"/>
  <c r="AH332" i="1"/>
  <c r="AH304" i="1"/>
  <c r="AI304" i="1"/>
  <c r="AI320" i="1"/>
  <c r="AH320" i="1"/>
  <c r="AP299" i="1"/>
  <c r="AO299" i="1"/>
  <c r="AS289" i="1"/>
  <c r="AT289" i="1" s="1"/>
  <c r="AH345" i="1"/>
  <c r="AI345" i="1"/>
  <c r="AQ293" i="1"/>
  <c r="AS293" i="1" s="1"/>
  <c r="AT293" i="1" s="1"/>
  <c r="AP273" i="1"/>
  <c r="AO273" i="1"/>
  <c r="AT287" i="1"/>
  <c r="AT279" i="1"/>
  <c r="AG176" i="1"/>
  <c r="AN176" i="1"/>
  <c r="AP181" i="1"/>
  <c r="AO181" i="1"/>
  <c r="AL134" i="1"/>
  <c r="AM134" i="1" s="1"/>
  <c r="AN134" i="1" s="1"/>
  <c r="AQ134" i="1"/>
  <c r="AS134" i="1" s="1"/>
  <c r="AI217" i="1"/>
  <c r="AH217" i="1"/>
  <c r="AP135" i="1"/>
  <c r="AO135" i="1"/>
  <c r="AI204" i="1"/>
  <c r="AH204" i="1"/>
  <c r="AH184" i="1"/>
  <c r="AI184" i="1"/>
  <c r="AP130" i="1"/>
  <c r="AO130" i="1"/>
  <c r="AH160" i="1"/>
  <c r="AI160" i="1"/>
  <c r="AI150" i="1"/>
  <c r="AH150" i="1"/>
  <c r="AP142" i="1"/>
  <c r="AO142" i="1"/>
  <c r="AO76" i="1"/>
  <c r="AP76" i="1"/>
  <c r="AH159" i="1"/>
  <c r="AI159" i="1"/>
  <c r="AP84" i="1"/>
  <c r="AO84" i="1"/>
  <c r="AT65" i="1"/>
  <c r="AP88" i="1"/>
  <c r="AO88" i="1"/>
  <c r="G69" i="1"/>
  <c r="AL69" i="1" s="1"/>
  <c r="AQ69" i="1"/>
  <c r="AS69" i="1" s="1"/>
  <c r="AT69" i="1" s="1"/>
  <c r="AL63" i="1"/>
  <c r="AM63" i="1" s="1"/>
  <c r="AN63" i="1" s="1"/>
  <c r="AI98" i="1"/>
  <c r="AH98" i="1"/>
  <c r="AP46" i="1"/>
  <c r="AO46" i="1"/>
  <c r="AP64" i="1"/>
  <c r="AO64" i="1"/>
  <c r="AQ68" i="1"/>
  <c r="AS68" i="1" s="1"/>
  <c r="AT68" i="1" s="1"/>
  <c r="AI94" i="1"/>
  <c r="AH94" i="1"/>
  <c r="AT8" i="1"/>
  <c r="AG450" i="1"/>
  <c r="AN450" i="1"/>
  <c r="AG438" i="1"/>
  <c r="AN438" i="1"/>
  <c r="AP430" i="1"/>
  <c r="AO430" i="1"/>
  <c r="AT439" i="1"/>
  <c r="AP434" i="1"/>
  <c r="AO434" i="1"/>
  <c r="AG431" i="1"/>
  <c r="AN431" i="1"/>
  <c r="AG449" i="1"/>
  <c r="AN449" i="1"/>
  <c r="AI434" i="1"/>
  <c r="AH434" i="1"/>
  <c r="AT421" i="1"/>
  <c r="AG441" i="1"/>
  <c r="AN441" i="1"/>
  <c r="AI437" i="1"/>
  <c r="AH437" i="1"/>
  <c r="AN417" i="1"/>
  <c r="AG417" i="1"/>
  <c r="AT432" i="1"/>
  <c r="AP398" i="1"/>
  <c r="AO398" i="1"/>
  <c r="AH409" i="1"/>
  <c r="AI409" i="1"/>
  <c r="AP408" i="1"/>
  <c r="AO408" i="1"/>
  <c r="AF368" i="1"/>
  <c r="AM368" i="1"/>
  <c r="AN368" i="1" s="1"/>
  <c r="AE368" i="1"/>
  <c r="AR368" i="1"/>
  <c r="AS368" i="1" s="1"/>
  <c r="AT368" i="1" s="1"/>
  <c r="AP349" i="1"/>
  <c r="AO349" i="1"/>
  <c r="AP361" i="1"/>
  <c r="AO361" i="1"/>
  <c r="AP305" i="1"/>
  <c r="AO305" i="1"/>
  <c r="AP312" i="1"/>
  <c r="AO312" i="1"/>
  <c r="AP357" i="1"/>
  <c r="AO357" i="1"/>
  <c r="AI354" i="1"/>
  <c r="AH354" i="1"/>
  <c r="AI330" i="1"/>
  <c r="AH330" i="1"/>
  <c r="AO340" i="1"/>
  <c r="AP340" i="1"/>
  <c r="AP319" i="1"/>
  <c r="AO319" i="1"/>
  <c r="AP316" i="1"/>
  <c r="AO316" i="1"/>
  <c r="AQ290" i="1"/>
  <c r="AS290" i="1" s="1"/>
  <c r="AT290" i="1" s="1"/>
  <c r="AG172" i="1"/>
  <c r="AN172" i="1"/>
  <c r="AP217" i="1"/>
  <c r="AO217" i="1"/>
  <c r="AI221" i="1"/>
  <c r="AH221" i="1"/>
  <c r="AT192" i="1"/>
  <c r="AN174" i="1"/>
  <c r="AG174" i="1"/>
  <c r="AP204" i="1"/>
  <c r="AO204" i="1"/>
  <c r="AN170" i="1"/>
  <c r="AG170" i="1"/>
  <c r="AT170" i="1"/>
  <c r="AG151" i="1"/>
  <c r="AN151" i="1"/>
  <c r="AP126" i="1"/>
  <c r="AO126" i="1"/>
  <c r="AI222" i="1"/>
  <c r="AH222" i="1"/>
  <c r="AO173" i="1"/>
  <c r="AP173" i="1"/>
  <c r="AP150" i="1"/>
  <c r="AO150" i="1"/>
  <c r="AP111" i="1"/>
  <c r="AO111" i="1"/>
  <c r="AI142" i="1"/>
  <c r="AH142" i="1"/>
  <c r="AO72" i="1"/>
  <c r="AP72" i="1"/>
  <c r="AO155" i="1"/>
  <c r="AP155" i="1"/>
  <c r="AI191" i="1"/>
  <c r="AH191" i="1"/>
  <c r="AP167" i="1"/>
  <c r="AO167" i="1"/>
  <c r="AP83" i="1"/>
  <c r="AO83" i="1"/>
  <c r="AT52" i="1"/>
  <c r="AT127" i="1"/>
  <c r="AT63" i="1"/>
  <c r="AP92" i="1"/>
  <c r="AO92" i="1"/>
  <c r="AP43" i="1"/>
  <c r="AO43" i="1"/>
  <c r="AH88" i="1"/>
  <c r="AI88" i="1"/>
  <c r="AS103" i="1"/>
  <c r="AT103" i="1" s="1"/>
  <c r="AT62" i="1"/>
  <c r="AO39" i="1"/>
  <c r="AP39" i="1"/>
  <c r="AO14" i="1"/>
  <c r="AP14" i="1"/>
  <c r="AO98" i="1"/>
  <c r="AP98" i="1"/>
  <c r="AL77" i="1"/>
  <c r="G77" i="1"/>
  <c r="AQ77" i="1"/>
  <c r="AS77" i="1" s="1"/>
  <c r="AT77" i="1" s="1"/>
  <c r="AS84" i="1"/>
  <c r="AT84" i="1" s="1"/>
  <c r="AO94" i="1"/>
  <c r="AP94" i="1"/>
  <c r="AG451" i="1"/>
  <c r="AN451" i="1"/>
  <c r="AS438" i="1"/>
  <c r="AT438" i="1" s="1"/>
  <c r="AR392" i="1"/>
  <c r="AF392" i="1"/>
  <c r="AE392" i="1"/>
  <c r="AM392" i="1"/>
  <c r="AN392" i="1" s="1"/>
  <c r="AP415" i="1"/>
  <c r="AO415" i="1"/>
  <c r="AT420" i="1"/>
  <c r="AT424" i="1"/>
  <c r="AO397" i="1"/>
  <c r="AP397" i="1"/>
  <c r="AP406" i="1"/>
  <c r="AO406" i="1"/>
  <c r="AP386" i="1"/>
  <c r="AO386" i="1"/>
  <c r="AO375" i="1"/>
  <c r="AP375" i="1"/>
  <c r="AO382" i="1"/>
  <c r="AP382" i="1"/>
  <c r="AP409" i="1"/>
  <c r="AO409" i="1"/>
  <c r="AH408" i="1"/>
  <c r="AI408" i="1"/>
  <c r="AS374" i="1"/>
  <c r="AT374" i="1" s="1"/>
  <c r="AM372" i="1"/>
  <c r="AN372" i="1" s="1"/>
  <c r="AE372" i="1"/>
  <c r="AF372" i="1"/>
  <c r="AR372" i="1"/>
  <c r="AP366" i="1"/>
  <c r="AO366" i="1"/>
  <c r="AF373" i="1"/>
  <c r="AE373" i="1"/>
  <c r="AM373" i="1"/>
  <c r="AN373" i="1" s="1"/>
  <c r="AR373" i="1"/>
  <c r="AS373" i="1" s="1"/>
  <c r="AT365" i="1"/>
  <c r="AH347" i="1"/>
  <c r="AI347" i="1"/>
  <c r="AI305" i="1"/>
  <c r="AH305" i="1"/>
  <c r="AH312" i="1"/>
  <c r="AI312" i="1"/>
  <c r="AL288" i="1"/>
  <c r="AM288" i="1" s="1"/>
  <c r="AN288" i="1" s="1"/>
  <c r="AQ288" i="1"/>
  <c r="AS288" i="1" s="1"/>
  <c r="AT288" i="1" s="1"/>
  <c r="AO359" i="1"/>
  <c r="AP359" i="1"/>
  <c r="AP330" i="1"/>
  <c r="AO330" i="1"/>
  <c r="AI340" i="1"/>
  <c r="AH340" i="1"/>
  <c r="AI342" i="1"/>
  <c r="AH342" i="1"/>
  <c r="AI319" i="1"/>
  <c r="AH319" i="1"/>
  <c r="AT282" i="1"/>
  <c r="AI316" i="1"/>
  <c r="AH316" i="1"/>
  <c r="AO289" i="1"/>
  <c r="AP289" i="1"/>
  <c r="AP251" i="1"/>
  <c r="AO251" i="1"/>
  <c r="AP241" i="1"/>
  <c r="AO241" i="1"/>
  <c r="AS208" i="1"/>
  <c r="AT208" i="1" s="1"/>
  <c r="AS281" i="1"/>
  <c r="AT281" i="1" s="1"/>
  <c r="AT251" i="1"/>
  <c r="AO221" i="1"/>
  <c r="AP221" i="1"/>
  <c r="AP186" i="1"/>
  <c r="AO186" i="1"/>
  <c r="AN192" i="1"/>
  <c r="AG192" i="1"/>
  <c r="AI202" i="1"/>
  <c r="AH202" i="1"/>
  <c r="AP222" i="1"/>
  <c r="AO222" i="1"/>
  <c r="AI156" i="1"/>
  <c r="AH156" i="1"/>
  <c r="AI173" i="1"/>
  <c r="AH173" i="1"/>
  <c r="AP143" i="1"/>
  <c r="AO143" i="1"/>
  <c r="AP107" i="1"/>
  <c r="AO107" i="1"/>
  <c r="AO68" i="1"/>
  <c r="AP68" i="1"/>
  <c r="AI155" i="1"/>
  <c r="AH155" i="1"/>
  <c r="AP191" i="1"/>
  <c r="AO191" i="1"/>
  <c r="AI167" i="1"/>
  <c r="AH167" i="1"/>
  <c r="AO157" i="1"/>
  <c r="AP157" i="1"/>
  <c r="AP85" i="1"/>
  <c r="AO85" i="1"/>
  <c r="AI92" i="1"/>
  <c r="AH92" i="1"/>
  <c r="G85" i="1"/>
  <c r="AL85" i="1" s="1"/>
  <c r="AP62" i="1"/>
  <c r="AO62" i="1"/>
  <c r="AS83" i="1"/>
  <c r="AT83" i="1" s="1"/>
  <c r="AT108" i="1"/>
  <c r="AG41" i="1"/>
  <c r="AN41" i="1"/>
  <c r="AP440" i="1"/>
  <c r="AO440" i="1"/>
  <c r="AT43" i="1"/>
  <c r="AH406" i="1"/>
  <c r="AI406" i="1"/>
  <c r="AS383" i="1"/>
  <c r="AT383" i="1" s="1"/>
  <c r="AH403" i="1"/>
  <c r="AI403" i="1"/>
  <c r="AO385" i="1"/>
  <c r="AP385" i="1"/>
  <c r="AP410" i="1"/>
  <c r="AO410" i="1"/>
  <c r="AP360" i="1"/>
  <c r="AO360" i="1"/>
  <c r="AP389" i="1"/>
  <c r="AO389" i="1"/>
  <c r="AP329" i="1"/>
  <c r="AO329" i="1"/>
  <c r="AI344" i="1"/>
  <c r="AH344" i="1"/>
  <c r="AT381" i="1"/>
  <c r="AO324" i="1"/>
  <c r="AP324" i="1"/>
  <c r="AP284" i="1"/>
  <c r="AO284" i="1"/>
  <c r="AG327" i="1"/>
  <c r="AN327" i="1"/>
  <c r="AP333" i="1"/>
  <c r="AO333" i="1"/>
  <c r="AO342" i="1"/>
  <c r="AP342" i="1"/>
  <c r="AP287" i="1"/>
  <c r="AO287" i="1"/>
  <c r="AP279" i="1"/>
  <c r="AO279" i="1"/>
  <c r="AH350" i="1"/>
  <c r="AI350" i="1"/>
  <c r="AP308" i="1"/>
  <c r="AO308" i="1"/>
  <c r="AP247" i="1"/>
  <c r="AO247" i="1"/>
  <c r="AP314" i="1"/>
  <c r="AO314" i="1"/>
  <c r="AP293" i="1"/>
  <c r="AO293" i="1"/>
  <c r="AP281" i="1"/>
  <c r="AO281" i="1"/>
  <c r="AI210" i="1"/>
  <c r="AH210" i="1"/>
  <c r="AI200" i="1"/>
  <c r="AH200" i="1"/>
  <c r="AP194" i="1"/>
  <c r="AO194" i="1"/>
  <c r="AP197" i="1"/>
  <c r="AO197" i="1"/>
  <c r="AO121" i="1"/>
  <c r="AP121" i="1"/>
  <c r="AI186" i="1"/>
  <c r="AH186" i="1"/>
  <c r="AI208" i="1"/>
  <c r="AH208" i="1"/>
  <c r="AI189" i="1"/>
  <c r="AH189" i="1"/>
  <c r="AP202" i="1"/>
  <c r="AO202" i="1"/>
  <c r="AP127" i="1"/>
  <c r="AO127" i="1"/>
  <c r="AH143" i="1"/>
  <c r="AI143" i="1"/>
  <c r="AG149" i="1"/>
  <c r="AN149" i="1"/>
  <c r="AG56" i="1"/>
  <c r="AN56" i="1"/>
  <c r="AT137" i="1"/>
  <c r="AP205" i="1"/>
  <c r="AO205" i="1"/>
  <c r="AP122" i="1"/>
  <c r="AO122" i="1"/>
  <c r="AP187" i="1"/>
  <c r="AO187" i="1"/>
  <c r="AP230" i="1"/>
  <c r="AO230" i="1"/>
  <c r="AI157" i="1"/>
  <c r="AH157" i="1"/>
  <c r="AS120" i="1"/>
  <c r="AT120" i="1" s="1"/>
  <c r="AP61" i="1"/>
  <c r="AO61" i="1"/>
  <c r="AI90" i="1"/>
  <c r="AH90" i="1"/>
  <c r="AP59" i="1"/>
  <c r="AO59" i="1"/>
  <c r="AO91" i="1"/>
  <c r="AP91" i="1"/>
  <c r="AP75" i="1"/>
  <c r="AO75" i="1"/>
  <c r="AT66" i="1"/>
  <c r="AH440" i="1"/>
  <c r="AI440" i="1"/>
  <c r="AG154" i="1"/>
  <c r="AN154" i="1"/>
  <c r="AE395" i="1"/>
  <c r="AM395" i="1"/>
  <c r="AN395" i="1" s="1"/>
  <c r="AR395" i="1"/>
  <c r="AF395" i="1"/>
  <c r="AS372" i="1"/>
  <c r="AT372" i="1" s="1"/>
  <c r="AG443" i="1"/>
  <c r="AN443" i="1"/>
  <c r="AG452" i="1"/>
  <c r="AN452" i="1"/>
  <c r="AI444" i="1"/>
  <c r="AH444" i="1"/>
  <c r="AT431" i="1"/>
  <c r="AP425" i="1"/>
  <c r="AO425" i="1"/>
  <c r="AO399" i="1"/>
  <c r="AP399" i="1"/>
  <c r="AN405" i="1"/>
  <c r="AG405" i="1"/>
  <c r="AH407" i="1"/>
  <c r="AI407" i="1"/>
  <c r="AT443" i="1"/>
  <c r="AM396" i="1"/>
  <c r="AN396" i="1" s="1"/>
  <c r="AE396" i="1"/>
  <c r="AR396" i="1"/>
  <c r="AS396" i="1" s="1"/>
  <c r="AT396" i="1" s="1"/>
  <c r="AF396" i="1"/>
  <c r="AP394" i="1"/>
  <c r="AO394" i="1"/>
  <c r="AT391" i="1"/>
  <c r="AO379" i="1"/>
  <c r="AP379" i="1"/>
  <c r="AP403" i="1"/>
  <c r="AO403" i="1"/>
  <c r="AP353" i="1"/>
  <c r="AO353" i="1"/>
  <c r="AP355" i="1"/>
  <c r="AO355" i="1"/>
  <c r="AH339" i="1"/>
  <c r="AI339" i="1"/>
  <c r="AP335" i="1"/>
  <c r="AO335" i="1"/>
  <c r="AI324" i="1"/>
  <c r="AH324" i="1"/>
  <c r="AI338" i="1"/>
  <c r="AH338" i="1"/>
  <c r="AO315" i="1"/>
  <c r="AP315" i="1"/>
  <c r="AI333" i="1"/>
  <c r="AH333" i="1"/>
  <c r="AI346" i="1"/>
  <c r="AH346" i="1"/>
  <c r="AI336" i="1"/>
  <c r="AH336" i="1"/>
  <c r="AO350" i="1"/>
  <c r="AP350" i="1"/>
  <c r="AI308" i="1"/>
  <c r="AH308" i="1"/>
  <c r="AP243" i="1"/>
  <c r="AO243" i="1"/>
  <c r="AI314" i="1"/>
  <c r="AH314" i="1"/>
  <c r="AS204" i="1"/>
  <c r="AT204" i="1" s="1"/>
  <c r="AO277" i="1"/>
  <c r="AP277" i="1"/>
  <c r="AP200" i="1"/>
  <c r="AO200" i="1"/>
  <c r="AI194" i="1"/>
  <c r="AH194" i="1"/>
  <c r="AI197" i="1"/>
  <c r="AH197" i="1"/>
  <c r="AG144" i="1"/>
  <c r="AN144" i="1"/>
  <c r="AO208" i="1"/>
  <c r="AP208" i="1"/>
  <c r="AP189" i="1"/>
  <c r="AO189" i="1"/>
  <c r="AG52" i="1"/>
  <c r="AN52" i="1"/>
  <c r="AP99" i="1"/>
  <c r="AO99" i="1"/>
  <c r="AI205" i="1"/>
  <c r="AH205" i="1"/>
  <c r="AI187" i="1"/>
  <c r="AH187" i="1"/>
  <c r="AI230" i="1"/>
  <c r="AH230" i="1"/>
  <c r="AL75" i="1"/>
  <c r="AP57" i="1"/>
  <c r="AO57" i="1"/>
  <c r="G73" i="1"/>
  <c r="AL73" i="1" s="1"/>
  <c r="AQ73" i="1"/>
  <c r="AS73" i="1" s="1"/>
  <c r="AT73" i="1" s="1"/>
  <c r="AI54" i="1"/>
  <c r="AH54" i="1"/>
  <c r="AH91" i="1"/>
  <c r="AI91" i="1"/>
  <c r="AP71" i="1"/>
  <c r="AO71" i="1"/>
  <c r="AP66" i="1"/>
  <c r="AO66" i="1"/>
  <c r="AT87" i="1"/>
  <c r="AG439" i="1"/>
  <c r="AN439" i="1"/>
  <c r="AP444" i="1"/>
  <c r="AO444" i="1"/>
  <c r="AI436" i="1"/>
  <c r="AH436" i="1"/>
  <c r="AP420" i="1"/>
  <c r="AO420" i="1"/>
  <c r="AG448" i="1"/>
  <c r="AN448" i="1"/>
  <c r="AP453" i="1"/>
  <c r="AO453" i="1"/>
  <c r="AG442" i="1"/>
  <c r="AN442" i="1"/>
  <c r="AI425" i="1"/>
  <c r="AH425" i="1"/>
  <c r="AP416" i="1"/>
  <c r="AO416" i="1"/>
  <c r="AP404" i="1"/>
  <c r="AO404" i="1"/>
  <c r="AP391" i="1"/>
  <c r="AO391" i="1"/>
  <c r="AO381" i="1"/>
  <c r="AP381" i="1"/>
  <c r="AS392" i="1"/>
  <c r="AS395" i="1"/>
  <c r="AT395" i="1" s="1"/>
  <c r="AI353" i="1"/>
  <c r="AH353" i="1"/>
  <c r="AF356" i="1"/>
  <c r="AM356" i="1"/>
  <c r="AN356" i="1" s="1"/>
  <c r="AE356" i="1"/>
  <c r="AR356" i="1"/>
  <c r="AP364" i="1"/>
  <c r="AO364" i="1"/>
  <c r="AH331" i="1"/>
  <c r="AI331" i="1"/>
  <c r="AO338" i="1"/>
  <c r="AP338" i="1"/>
  <c r="AP337" i="1"/>
  <c r="AO337" i="1"/>
  <c r="AO346" i="1"/>
  <c r="AP346" i="1"/>
  <c r="AO336" i="1"/>
  <c r="AP336" i="1"/>
  <c r="AS286" i="1"/>
  <c r="AT286" i="1" s="1"/>
  <c r="AP301" i="1"/>
  <c r="AO301" i="1"/>
  <c r="AQ285" i="1"/>
  <c r="AS285" i="1" s="1"/>
  <c r="AT285" i="1" s="1"/>
  <c r="AP239" i="1"/>
  <c r="AO239" i="1"/>
  <c r="AP311" i="1"/>
  <c r="AO311" i="1"/>
  <c r="AS278" i="1"/>
  <c r="AT278" i="1" s="1"/>
  <c r="AP220" i="1"/>
  <c r="AO220" i="1"/>
  <c r="AT239" i="1"/>
  <c r="AI219" i="1"/>
  <c r="AH219" i="1"/>
  <c r="AP235" i="1"/>
  <c r="AO235" i="1"/>
  <c r="AS201" i="1"/>
  <c r="AT201" i="1" s="1"/>
  <c r="AT196" i="1"/>
  <c r="AH190" i="1"/>
  <c r="AI190" i="1"/>
  <c r="AG140" i="1"/>
  <c r="AN140" i="1"/>
  <c r="AT243" i="1"/>
  <c r="AG139" i="1"/>
  <c r="AN139" i="1"/>
  <c r="AO113" i="1"/>
  <c r="AP113" i="1"/>
  <c r="AH178" i="1"/>
  <c r="AI178" i="1"/>
  <c r="AP203" i="1"/>
  <c r="AO203" i="1"/>
  <c r="AQ136" i="1"/>
  <c r="AS136" i="1" s="1"/>
  <c r="AT136" i="1" s="1"/>
  <c r="AL136" i="1"/>
  <c r="AM136" i="1" s="1"/>
  <c r="AN136" i="1" s="1"/>
  <c r="AT163" i="1"/>
  <c r="AP103" i="1"/>
  <c r="AO103" i="1"/>
  <c r="AT149" i="1"/>
  <c r="AP114" i="1"/>
  <c r="AO114" i="1"/>
  <c r="AO162" i="1"/>
  <c r="AP162" i="1"/>
  <c r="AO145" i="1"/>
  <c r="AP145" i="1"/>
  <c r="G79" i="1"/>
  <c r="AQ79" i="1" s="1"/>
  <c r="AS79" i="1" s="1"/>
  <c r="AT79" i="1" s="1"/>
  <c r="AP60" i="1"/>
  <c r="AO60" i="1"/>
  <c r="AM36" i="1"/>
  <c r="AN36" i="1" s="1"/>
  <c r="AR36" i="1"/>
  <c r="AS36" i="1" s="1"/>
  <c r="AT36" i="1" s="1"/>
  <c r="AI57" i="1"/>
  <c r="AH57" i="1"/>
  <c r="AG53" i="1"/>
  <c r="AN53" i="1"/>
  <c r="AT89" i="1"/>
  <c r="AG49" i="1"/>
  <c r="AN49" i="1"/>
  <c r="AI40" i="1"/>
  <c r="AH40" i="1"/>
  <c r="AI452" i="1" l="1"/>
  <c r="AH452" i="1"/>
  <c r="AP450" i="1"/>
  <c r="AO450" i="1"/>
  <c r="AP144" i="1"/>
  <c r="AO144" i="1"/>
  <c r="AP443" i="1"/>
  <c r="AO443" i="1"/>
  <c r="AI154" i="1"/>
  <c r="AH154" i="1"/>
  <c r="AO327" i="1"/>
  <c r="AP327" i="1"/>
  <c r="AI441" i="1"/>
  <c r="AH441" i="1"/>
  <c r="AI450" i="1"/>
  <c r="AH450" i="1"/>
  <c r="AT134" i="1"/>
  <c r="AP325" i="1"/>
  <c r="AO325" i="1"/>
  <c r="AI401" i="1"/>
  <c r="AH401" i="1"/>
  <c r="AO153" i="1"/>
  <c r="AP153" i="1"/>
  <c r="AP423" i="1"/>
  <c r="AO423" i="1"/>
  <c r="AO163" i="1"/>
  <c r="AP163" i="1"/>
  <c r="AO199" i="1"/>
  <c r="AP199" i="1"/>
  <c r="AP424" i="1"/>
  <c r="AO424" i="1"/>
  <c r="AP392" i="1"/>
  <c r="AO392" i="1"/>
  <c r="AP170" i="1"/>
  <c r="AO170" i="1"/>
  <c r="AP441" i="1"/>
  <c r="AO441" i="1"/>
  <c r="AP140" i="1"/>
  <c r="AO140" i="1"/>
  <c r="AO439" i="1"/>
  <c r="AP439" i="1"/>
  <c r="AI144" i="1"/>
  <c r="AH144" i="1"/>
  <c r="AO396" i="1"/>
  <c r="AP396" i="1"/>
  <c r="AI443" i="1"/>
  <c r="AH443" i="1"/>
  <c r="AH327" i="1"/>
  <c r="AI327" i="1"/>
  <c r="AO172" i="1"/>
  <c r="AP172" i="1"/>
  <c r="AP134" i="1"/>
  <c r="AO134" i="1"/>
  <c r="AI325" i="1"/>
  <c r="AH325" i="1"/>
  <c r="AP371" i="1"/>
  <c r="AO371" i="1"/>
  <c r="AI153" i="1"/>
  <c r="AH153" i="1"/>
  <c r="AP358" i="1"/>
  <c r="AO358" i="1"/>
  <c r="AI423" i="1"/>
  <c r="AH423" i="1"/>
  <c r="AI163" i="1"/>
  <c r="AH163" i="1"/>
  <c r="AS356" i="1"/>
  <c r="AT356" i="1" s="1"/>
  <c r="AI424" i="1"/>
  <c r="AH424" i="1"/>
  <c r="AP53" i="1"/>
  <c r="AO53" i="1"/>
  <c r="AO448" i="1"/>
  <c r="AP448" i="1"/>
  <c r="AI53" i="1"/>
  <c r="AH53" i="1"/>
  <c r="AL79" i="1"/>
  <c r="AI140" i="1"/>
  <c r="AH140" i="1"/>
  <c r="AT392" i="1"/>
  <c r="AI448" i="1"/>
  <c r="AH448" i="1"/>
  <c r="AI439" i="1"/>
  <c r="AH439" i="1"/>
  <c r="AO52" i="1"/>
  <c r="AP52" i="1"/>
  <c r="AO56" i="1"/>
  <c r="AP56" i="1"/>
  <c r="AP288" i="1"/>
  <c r="AO288" i="1"/>
  <c r="AT373" i="1"/>
  <c r="AI174" i="1"/>
  <c r="AH174" i="1"/>
  <c r="AI172" i="1"/>
  <c r="AH172" i="1"/>
  <c r="AP368" i="1"/>
  <c r="AO368" i="1"/>
  <c r="AO374" i="1"/>
  <c r="AP374" i="1"/>
  <c r="AP432" i="1"/>
  <c r="AO432" i="1"/>
  <c r="AQ81" i="1"/>
  <c r="AS81" i="1" s="1"/>
  <c r="AT81" i="1" s="1"/>
  <c r="AI87" i="1"/>
  <c r="AH87" i="1"/>
  <c r="AP42" i="1"/>
  <c r="AO42" i="1"/>
  <c r="AO401" i="1"/>
  <c r="AP401" i="1"/>
  <c r="AI56" i="1"/>
  <c r="AH56" i="1"/>
  <c r="AP41" i="1"/>
  <c r="AO41" i="1"/>
  <c r="AP373" i="1"/>
  <c r="AO373" i="1"/>
  <c r="AP372" i="1"/>
  <c r="AO372" i="1"/>
  <c r="AP151" i="1"/>
  <c r="AO151" i="1"/>
  <c r="AP174" i="1"/>
  <c r="AO174" i="1"/>
  <c r="AH417" i="1"/>
  <c r="AI417" i="1"/>
  <c r="AP63" i="1"/>
  <c r="AO63" i="1"/>
  <c r="AI432" i="1"/>
  <c r="AH432" i="1"/>
  <c r="AP87" i="1"/>
  <c r="AO87" i="1"/>
  <c r="AO390" i="1"/>
  <c r="AP390" i="1"/>
  <c r="AH42" i="1"/>
  <c r="AI42" i="1"/>
  <c r="AI49" i="1"/>
  <c r="AH49" i="1"/>
  <c r="AI431" i="1"/>
  <c r="AH431" i="1"/>
  <c r="AI421" i="1"/>
  <c r="AH421" i="1"/>
  <c r="AI89" i="1"/>
  <c r="AH89" i="1"/>
  <c r="AI199" i="1"/>
  <c r="AH199" i="1"/>
  <c r="AI52" i="1"/>
  <c r="AH52" i="1"/>
  <c r="AO149" i="1"/>
  <c r="AP149" i="1"/>
  <c r="AI41" i="1"/>
  <c r="AH41" i="1"/>
  <c r="AP451" i="1"/>
  <c r="AO451" i="1"/>
  <c r="AI151" i="1"/>
  <c r="AH151" i="1"/>
  <c r="AP417" i="1"/>
  <c r="AO417" i="1"/>
  <c r="AP449" i="1"/>
  <c r="AO449" i="1"/>
  <c r="AO176" i="1"/>
  <c r="AP176" i="1"/>
  <c r="AT371" i="1"/>
  <c r="AP147" i="1"/>
  <c r="AO147" i="1"/>
  <c r="AP363" i="1"/>
  <c r="AO363" i="1"/>
  <c r="AI139" i="1"/>
  <c r="AH139" i="1"/>
  <c r="AP154" i="1"/>
  <c r="AO154" i="1"/>
  <c r="AH171" i="1"/>
  <c r="AI171" i="1"/>
  <c r="AO356" i="1"/>
  <c r="AP356" i="1"/>
  <c r="AP442" i="1"/>
  <c r="AO442" i="1"/>
  <c r="AH405" i="1"/>
  <c r="AI405" i="1"/>
  <c r="AP395" i="1"/>
  <c r="AO395" i="1"/>
  <c r="AI149" i="1"/>
  <c r="AH149" i="1"/>
  <c r="AI192" i="1"/>
  <c r="AH192" i="1"/>
  <c r="AI451" i="1"/>
  <c r="AH451" i="1"/>
  <c r="AH449" i="1"/>
  <c r="AI449" i="1"/>
  <c r="AO438" i="1"/>
  <c r="AP438" i="1"/>
  <c r="AI176" i="1"/>
  <c r="AH176" i="1"/>
  <c r="AO370" i="1"/>
  <c r="AP370" i="1"/>
  <c r="AI147" i="1"/>
  <c r="AH147" i="1"/>
  <c r="AI196" i="1"/>
  <c r="AH196" i="1"/>
  <c r="AP422" i="1"/>
  <c r="AO422" i="1"/>
  <c r="AP49" i="1"/>
  <c r="AO49" i="1"/>
  <c r="AP36" i="1"/>
  <c r="AO36" i="1"/>
  <c r="AP136" i="1"/>
  <c r="AO136" i="1"/>
  <c r="AO139" i="1"/>
  <c r="AP139" i="1"/>
  <c r="AI442" i="1"/>
  <c r="AH442" i="1"/>
  <c r="AP405" i="1"/>
  <c r="AO405" i="1"/>
  <c r="AP452" i="1"/>
  <c r="AO452" i="1"/>
  <c r="AP192" i="1"/>
  <c r="AO192" i="1"/>
  <c r="AI170" i="1"/>
  <c r="AH170" i="1"/>
  <c r="AP431" i="1"/>
  <c r="AO431" i="1"/>
  <c r="AI438" i="1"/>
  <c r="AH438" i="1"/>
  <c r="AP171" i="1"/>
  <c r="AO171" i="1"/>
  <c r="AP421" i="1"/>
  <c r="AO421" i="1"/>
  <c r="AP65" i="1"/>
  <c r="AO65" i="1"/>
  <c r="AP89" i="1"/>
  <c r="AO89" i="1"/>
  <c r="AO196" i="1"/>
  <c r="AP196" i="1"/>
  <c r="AI422" i="1"/>
  <c r="AH422" i="1"/>
</calcChain>
</file>

<file path=xl/sharedStrings.xml><?xml version="1.0" encoding="utf-8"?>
<sst xmlns="http://schemas.openxmlformats.org/spreadsheetml/2006/main" count="1004" uniqueCount="501">
  <si>
    <t>Reference</t>
  </si>
  <si>
    <t>Singh &amp; Jain</t>
  </si>
  <si>
    <t>Sahoo &amp; Sharma</t>
  </si>
  <si>
    <t>Shoaib, Lubell and Bindiganavile</t>
  </si>
  <si>
    <t>Manju et al.</t>
  </si>
  <si>
    <t>Arslan et al</t>
  </si>
  <si>
    <t>Parra-Montesinos et al</t>
  </si>
  <si>
    <t>Rosenbusch and Teutsch</t>
  </si>
  <si>
    <t>Sahoo et al</t>
  </si>
  <si>
    <t>Amin and Foster</t>
  </si>
  <si>
    <t>Tahenni et al</t>
  </si>
  <si>
    <t>Narayanan and Darwish</t>
  </si>
  <si>
    <t>Cucchiara et al</t>
  </si>
  <si>
    <t>Kwak et al</t>
  </si>
  <si>
    <t>Lim and Oh</t>
  </si>
  <si>
    <t>Dinh et al</t>
  </si>
  <si>
    <t>Lima Araujo et al</t>
  </si>
  <si>
    <t>Casanova et al</t>
  </si>
  <si>
    <t>Aoude et al</t>
  </si>
  <si>
    <t>Minelli &amp; Plizzari</t>
  </si>
  <si>
    <t>Kang et al</t>
  </si>
  <si>
    <t>Casanova &amp; Rossi</t>
  </si>
  <si>
    <t>Lim et al</t>
  </si>
  <si>
    <t>Mansur et al</t>
  </si>
  <si>
    <t>Zarrinpour and Chao</t>
  </si>
  <si>
    <t>Noghabai</t>
  </si>
  <si>
    <t>Randl et al</t>
  </si>
  <si>
    <t>Ashour et al</t>
  </si>
  <si>
    <t>Tan et al</t>
  </si>
  <si>
    <t>Pansuk et al</t>
  </si>
  <si>
    <t>Kim et al</t>
  </si>
  <si>
    <t>sharma, 1986</t>
  </si>
  <si>
    <t>Li, Ward, Hamza</t>
  </si>
  <si>
    <t>Swamy et al</t>
  </si>
  <si>
    <t>Adebar et al</t>
  </si>
  <si>
    <t>Cho and Kim</t>
  </si>
  <si>
    <t>Greenough and Nehdi</t>
  </si>
  <si>
    <t xml:space="preserve">Kang et al </t>
  </si>
  <si>
    <t>Dupont and Vandewalle</t>
  </si>
  <si>
    <t>Swamy and Bahia</t>
  </si>
  <si>
    <t>Batson et al</t>
  </si>
  <si>
    <t>zhao et al</t>
  </si>
  <si>
    <t>Jindal</t>
  </si>
  <si>
    <t>shin, oh, ghosh</t>
  </si>
  <si>
    <t>Imam, Vandewalle, Mortelmans</t>
  </si>
  <si>
    <t>Huang et al 2005</t>
  </si>
  <si>
    <t>Kwak, Suh, Hsu</t>
  </si>
  <si>
    <t>Roberts and Ho</t>
  </si>
  <si>
    <t>Hwang et al</t>
  </si>
  <si>
    <t>Spinella et al</t>
  </si>
  <si>
    <t>Chalioris and Sfiri 2011</t>
  </si>
  <si>
    <t>Cohen and Aoude 2012</t>
  </si>
  <si>
    <t>Aoude and Cohen 2014</t>
  </si>
  <si>
    <t>Qissab and Salman</t>
  </si>
  <si>
    <t>ID</t>
  </si>
  <si>
    <t>D-I</t>
  </si>
  <si>
    <t>D-II</t>
  </si>
  <si>
    <t>E-I</t>
  </si>
  <si>
    <t>E-II</t>
  </si>
  <si>
    <t>F-I</t>
  </si>
  <si>
    <t>F-II</t>
  </si>
  <si>
    <t>G-I</t>
  </si>
  <si>
    <t>G-II</t>
  </si>
  <si>
    <t>H-I</t>
  </si>
  <si>
    <t>H-II</t>
  </si>
  <si>
    <t>I-I</t>
  </si>
  <si>
    <t>I-II</t>
  </si>
  <si>
    <t>K-I</t>
  </si>
  <si>
    <t>K-II</t>
  </si>
  <si>
    <t>L-I</t>
  </si>
  <si>
    <t>L-II</t>
  </si>
  <si>
    <t>P-I</t>
  </si>
  <si>
    <t>P-II</t>
  </si>
  <si>
    <t>AA-I</t>
  </si>
  <si>
    <t>AA-II</t>
  </si>
  <si>
    <t>M-I</t>
  </si>
  <si>
    <t>M-II</t>
  </si>
  <si>
    <t>N-I</t>
  </si>
  <si>
    <t>N-II</t>
  </si>
  <si>
    <t>R-I</t>
  </si>
  <si>
    <t>R-II</t>
  </si>
  <si>
    <t>U-I</t>
  </si>
  <si>
    <t>U-II</t>
  </si>
  <si>
    <t>W-I</t>
  </si>
  <si>
    <t>W-II</t>
  </si>
  <si>
    <t>Z-I</t>
  </si>
  <si>
    <t>Z-II</t>
  </si>
  <si>
    <t>M-25-0.50</t>
  </si>
  <si>
    <t>M20-S-0.75</t>
  </si>
  <si>
    <t>M20-S-1</t>
  </si>
  <si>
    <t>M20-S-1.25</t>
  </si>
  <si>
    <t>L31</t>
  </si>
  <si>
    <t>L32</t>
  </si>
  <si>
    <t>L62</t>
  </si>
  <si>
    <t>SH1</t>
  </si>
  <si>
    <t>SH2</t>
  </si>
  <si>
    <t>SH3</t>
  </si>
  <si>
    <t>SH4</t>
  </si>
  <si>
    <t>SH5</t>
  </si>
  <si>
    <t>SH6</t>
  </si>
  <si>
    <t>A2.5F1.0A</t>
  </si>
  <si>
    <t>A2.5F1.0b</t>
  </si>
  <si>
    <t>A2.5F2.0</t>
  </si>
  <si>
    <t>A2.5F3.0</t>
  </si>
  <si>
    <t>A3.5F1.0</t>
  </si>
  <si>
    <t>A3.5F2.0</t>
  </si>
  <si>
    <t>A3.5F3.0</t>
  </si>
  <si>
    <t>A4.5F1.0</t>
  </si>
  <si>
    <t>A4.5F2.0</t>
  </si>
  <si>
    <t>2.2/2</t>
  </si>
  <si>
    <t>2.2/3</t>
  </si>
  <si>
    <t>2.4/2</t>
  </si>
  <si>
    <t>2.4/3</t>
  </si>
  <si>
    <t>2.3/2</t>
  </si>
  <si>
    <t>2.3/3</t>
  </si>
  <si>
    <t>T15*100-SFRC-2</t>
  </si>
  <si>
    <t>T23*50-SFRC-2</t>
  </si>
  <si>
    <t>T15*75-SFRC-2</t>
  </si>
  <si>
    <t>T15*50-SFRC-1</t>
  </si>
  <si>
    <t>1.2/2</t>
  </si>
  <si>
    <t>1.2/3</t>
  </si>
  <si>
    <t>1.2/4</t>
  </si>
  <si>
    <t>20*30-SFRC-1</t>
  </si>
  <si>
    <t>20*30-SFRC-2</t>
  </si>
  <si>
    <t>20*60-SFRC-1</t>
  </si>
  <si>
    <t>20*60-SFRC-2</t>
  </si>
  <si>
    <t>2.6/2</t>
  </si>
  <si>
    <t>2.6/3</t>
  </si>
  <si>
    <t>TB0.75_1.6</t>
  </si>
  <si>
    <t>TB0.75_2.5</t>
  </si>
  <si>
    <t>TB0.75_3.0</t>
  </si>
  <si>
    <t>B25-0-0-</t>
  </si>
  <si>
    <t>B50-0-0</t>
  </si>
  <si>
    <t>S0F0.5-65</t>
  </si>
  <si>
    <t>S0F1.0-65</t>
  </si>
  <si>
    <t>S0F1.0-80</t>
  </si>
  <si>
    <t>SF1</t>
  </si>
  <si>
    <t>SF2</t>
  </si>
  <si>
    <t>SF3</t>
  </si>
  <si>
    <t>SF4</t>
  </si>
  <si>
    <t>SF5</t>
  </si>
  <si>
    <t>SF6</t>
  </si>
  <si>
    <t>B1</t>
  </si>
  <si>
    <t>B7</t>
  </si>
  <si>
    <t>B9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</si>
  <si>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</si>
  <si>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</si>
  <si>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</si>
  <si>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</si>
  <si>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</si>
  <si>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</si>
  <si>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</si>
  <si>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</si>
  <si>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</si>
  <si>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</si>
  <si>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</si>
  <si>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</si>
  <si>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</si>
  <si>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</si>
  <si>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</si>
  <si>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</si>
  <si>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</si>
  <si>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</si>
  <si>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</si>
  <si>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A10</t>
  </si>
  <si>
    <t>A20</t>
  </si>
  <si>
    <t>B10</t>
  </si>
  <si>
    <t>FHB2-2</t>
  </si>
  <si>
    <t>FHB3-2</t>
  </si>
  <si>
    <t>FNB2-2</t>
  </si>
  <si>
    <t>FNB2-3</t>
  </si>
  <si>
    <t>S0.00V1</t>
  </si>
  <si>
    <t>S0.00V2</t>
  </si>
  <si>
    <t>B18-1a</t>
  </si>
  <si>
    <t>B18-1b</t>
  </si>
  <si>
    <t>B18-2a</t>
  </si>
  <si>
    <t>B18-2b</t>
  </si>
  <si>
    <t>B18-3a</t>
  </si>
  <si>
    <t>B18-3b</t>
  </si>
  <si>
    <t>B18-3c</t>
  </si>
  <si>
    <t>B18-3d</t>
  </si>
  <si>
    <t>B18-5a</t>
  </si>
  <si>
    <t>B18-5b</t>
  </si>
  <si>
    <t>B18-7a</t>
  </si>
  <si>
    <t>B18-7b</t>
  </si>
  <si>
    <t>B27-1a</t>
  </si>
  <si>
    <t>B27-1b</t>
  </si>
  <si>
    <t>B27-2a</t>
  </si>
  <si>
    <t>B27-2b</t>
  </si>
  <si>
    <t>B27-3b</t>
  </si>
  <si>
    <t>B27-4a</t>
  </si>
  <si>
    <t>B27-4b</t>
  </si>
  <si>
    <t>B27-5</t>
  </si>
  <si>
    <t>B27-6</t>
  </si>
  <si>
    <t>V-1-0</t>
  </si>
  <si>
    <t>V-2-0</t>
  </si>
  <si>
    <t>FRC1</t>
  </si>
  <si>
    <t>FRC2</t>
  </si>
  <si>
    <t>HSFRC1</t>
  </si>
  <si>
    <t>A0.5%</t>
  </si>
  <si>
    <t>A1%</t>
  </si>
  <si>
    <t>B0.5%</t>
  </si>
  <si>
    <t>B1%</t>
  </si>
  <si>
    <t>NSC1-FRC1</t>
  </si>
  <si>
    <t>NSC2-FRC1</t>
  </si>
  <si>
    <t>NSC2-FRC2</t>
  </si>
  <si>
    <t>NSC3-FRC</t>
  </si>
  <si>
    <t>HSC1-FRC1</t>
  </si>
  <si>
    <t>NSC4-FRC-500-1</t>
  </si>
  <si>
    <t>NSC4-FRC-500-2</t>
  </si>
  <si>
    <t>NSC4-FRC-1000</t>
  </si>
  <si>
    <t>HSC2-FRC-1000</t>
  </si>
  <si>
    <t>FLB-0.5-2</t>
  </si>
  <si>
    <t>FLB-0.5-4</t>
  </si>
  <si>
    <t>FNB-0.5-2</t>
  </si>
  <si>
    <t>HSFRC2</t>
  </si>
  <si>
    <t>2/0.5/2.5</t>
  </si>
  <si>
    <t>4/1.0/1.5</t>
  </si>
  <si>
    <t>4/1.0/2.5</t>
  </si>
  <si>
    <t>4/1.0/3.5</t>
  </si>
  <si>
    <t>4/0.5/1.5</t>
  </si>
  <si>
    <t>4/0.5/2.5</t>
  </si>
  <si>
    <t>4/0.5/3.5</t>
  </si>
  <si>
    <t>B2</t>
  </si>
  <si>
    <t>B3</t>
  </si>
  <si>
    <t>C1</t>
  </si>
  <si>
    <t>C2</t>
  </si>
  <si>
    <t>C6</t>
  </si>
  <si>
    <t>E2</t>
  </si>
  <si>
    <t>E3</t>
  </si>
  <si>
    <t>F3</t>
  </si>
  <si>
    <t>SFRC12W6</t>
  </si>
  <si>
    <t>SFRC12W24</t>
  </si>
  <si>
    <t>SFRC18a</t>
  </si>
  <si>
    <t>SFRC18b</t>
  </si>
  <si>
    <t>SFRC24a</t>
  </si>
  <si>
    <t>SFRC24b</t>
  </si>
  <si>
    <t>SFRC36a</t>
  </si>
  <si>
    <t>SFRC36b</t>
  </si>
  <si>
    <t>SFRC48a</t>
  </si>
  <si>
    <t>SFRC48b</t>
  </si>
  <si>
    <t>HSC,I,S6,0.15</t>
  </si>
  <si>
    <t>HSC,I,Smix</t>
  </si>
  <si>
    <t>HSC,I,S60/0.7/0.5</t>
  </si>
  <si>
    <t>HSC,I,S60/0.7/0.75</t>
  </si>
  <si>
    <t>NSC,II,Smix</t>
  </si>
  <si>
    <t>HSC,II,S30/0.6</t>
  </si>
  <si>
    <t>HSC,II,S6/0.15</t>
  </si>
  <si>
    <t>HSC,II,Smix</t>
  </si>
  <si>
    <t>HSC,III,S6/0.15</t>
  </si>
  <si>
    <t>HSC,III,Smix</t>
  </si>
  <si>
    <t>HSC,III,S60/0.7/0.5</t>
  </si>
  <si>
    <t>HSC,III,S60/0.7/0.75</t>
  </si>
  <si>
    <t>HSC,IV,S60/0.7/0.75</t>
  </si>
  <si>
    <t>HSC,IV,Smix</t>
  </si>
  <si>
    <t>B-2-1.0-L</t>
  </si>
  <si>
    <t>B-4-1.0-L</t>
  </si>
  <si>
    <t>B-6-1.0-L</t>
  </si>
  <si>
    <t>B-1-0.5-A</t>
  </si>
  <si>
    <t>B-2-0.5-A</t>
  </si>
  <si>
    <t>B-4-0.5-A</t>
  </si>
  <si>
    <t>B-6-0.5-A</t>
  </si>
  <si>
    <t>B-1-1.0-A</t>
  </si>
  <si>
    <t>B-2-1.0-A</t>
  </si>
  <si>
    <t>B-4-1.0-A</t>
  </si>
  <si>
    <t>B-6-1.0-A</t>
  </si>
  <si>
    <t>B-1-1.5-A</t>
  </si>
  <si>
    <t>B-2-1.5-A</t>
  </si>
  <si>
    <t>B-4-1.5-A</t>
  </si>
  <si>
    <t>B-6-1.5-A</t>
  </si>
  <si>
    <t>B-2-1.0-M</t>
  </si>
  <si>
    <t>B-4-1.0-M</t>
  </si>
  <si>
    <t>B-6-1.0-M</t>
  </si>
  <si>
    <t>NS08</t>
  </si>
  <si>
    <t>NS16</t>
  </si>
  <si>
    <t>21FB</t>
  </si>
  <si>
    <t>60FB</t>
  </si>
  <si>
    <t>S3F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</si>
  <si>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</si>
  <si>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</si>
  <si>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</si>
  <si>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</si>
  <si>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</si>
  <si>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</si>
  <si>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</si>
  <si>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</si>
  <si>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</si>
  <si>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</si>
  <si>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</si>
  <si>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M1</t>
  </si>
  <si>
    <t>M2</t>
  </si>
  <si>
    <t>M3</t>
  </si>
  <si>
    <t>M4</t>
  </si>
  <si>
    <t>M5</t>
  </si>
  <si>
    <t>M6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</si>
  <si>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</si>
  <si>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</si>
  <si>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</si>
  <si>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</si>
  <si>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</si>
  <si>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</si>
  <si>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</si>
  <si>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</si>
  <si>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</si>
  <si>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</si>
  <si>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C3</t>
  </si>
  <si>
    <t>C4</t>
  </si>
  <si>
    <t>C5</t>
  </si>
  <si>
    <t>1TLF-1</t>
  </si>
  <si>
    <t>1TLF-2</t>
  </si>
  <si>
    <t>1TLF-3</t>
  </si>
  <si>
    <t>2TLF-1</t>
  </si>
  <si>
    <t>2TLF-2</t>
  </si>
  <si>
    <t>2TLF-3</t>
  </si>
  <si>
    <t>3TLF-1</t>
  </si>
  <si>
    <t>FC2</t>
  </si>
  <si>
    <t>FC3</t>
  </si>
  <si>
    <t>FC8</t>
  </si>
  <si>
    <t>FC9</t>
  </si>
  <si>
    <t>FC10</t>
  </si>
  <si>
    <t>FC11</t>
  </si>
  <si>
    <t>F30-0.5-13</t>
  </si>
  <si>
    <t>F30-1.0-13</t>
  </si>
  <si>
    <t>F30-1.5-13</t>
  </si>
  <si>
    <t>F50-0.5-13</t>
  </si>
  <si>
    <t>F60-1.0-13</t>
  </si>
  <si>
    <t>F70-0.5-19</t>
  </si>
  <si>
    <t>F70-1.0-19</t>
  </si>
  <si>
    <t>F70-1.5-19</t>
  </si>
  <si>
    <t>F80-0.5-16</t>
  </si>
  <si>
    <t>F80-1.0-16</t>
  </si>
  <si>
    <t>F80-0.5-19</t>
  </si>
  <si>
    <t>F80-1.0-19</t>
  </si>
  <si>
    <t>S-HE-50-0.5</t>
  </si>
  <si>
    <t>S-HE-50-0.75</t>
  </si>
  <si>
    <t>S-HE-50-1.0</t>
  </si>
  <si>
    <t>S-FE-50-0.5</t>
  </si>
  <si>
    <t>S-FE-50-0.75</t>
  </si>
  <si>
    <t>S-FE-50-1.0</t>
  </si>
  <si>
    <t>S-FE-30-0.5</t>
  </si>
  <si>
    <t>S-FE-30-0.75</t>
  </si>
  <si>
    <t>S-FE-30-1.0</t>
  </si>
  <si>
    <t>FNB-50-1</t>
  </si>
  <si>
    <t>FNB-50-3</t>
  </si>
  <si>
    <t>B52</t>
  </si>
  <si>
    <t>B53</t>
  </si>
  <si>
    <t>B54</t>
  </si>
  <si>
    <t>B55</t>
  </si>
  <si>
    <t>B59</t>
  </si>
  <si>
    <t>H1</t>
  </si>
  <si>
    <t>H2</t>
  </si>
  <si>
    <t>H3</t>
  </si>
  <si>
    <t>I1</t>
  </si>
  <si>
    <t>I2</t>
  </si>
  <si>
    <t>I3</t>
  </si>
  <si>
    <t>A2</t>
  </si>
  <si>
    <t>F1</t>
  </si>
  <si>
    <t>F2</t>
  </si>
  <si>
    <t>G1</t>
  </si>
  <si>
    <t>G3</t>
  </si>
  <si>
    <t>L1</t>
  </si>
  <si>
    <t>L2</t>
  </si>
  <si>
    <t>L3</t>
  </si>
  <si>
    <t>N1</t>
  </si>
  <si>
    <t>N2</t>
  </si>
  <si>
    <t>O1</t>
  </si>
  <si>
    <t>P1</t>
  </si>
  <si>
    <t>P2</t>
  </si>
  <si>
    <t>P3</t>
  </si>
  <si>
    <t>R1</t>
  </si>
  <si>
    <t>R2</t>
  </si>
  <si>
    <t>S1</t>
  </si>
  <si>
    <t>S2</t>
  </si>
  <si>
    <t>S3</t>
  </si>
  <si>
    <t>U1</t>
  </si>
  <si>
    <t>V2</t>
  </si>
  <si>
    <t>W1</t>
  </si>
  <si>
    <t>W2</t>
  </si>
  <si>
    <t>X1</t>
  </si>
  <si>
    <t>X2</t>
  </si>
  <si>
    <t>X3</t>
  </si>
  <si>
    <t>S0005</t>
  </si>
  <si>
    <t>S0010</t>
  </si>
  <si>
    <t>S0015</t>
  </si>
  <si>
    <t>S0020</t>
  </si>
  <si>
    <t>G2</t>
  </si>
  <si>
    <t>H4</t>
  </si>
  <si>
    <t>J1</t>
  </si>
  <si>
    <t>2-0.5-0.5</t>
  </si>
  <si>
    <t>2-0.5-1</t>
  </si>
  <si>
    <t>3-0.5-0.5</t>
  </si>
  <si>
    <t>3-0.5-1</t>
  </si>
  <si>
    <t>4.5-0.5-0.5</t>
  </si>
  <si>
    <t>4.5-0.5-1</t>
  </si>
  <si>
    <t>B6</t>
  </si>
  <si>
    <t>PB14</t>
  </si>
  <si>
    <t>IAS1</t>
  </si>
  <si>
    <t>IAS2</t>
  </si>
  <si>
    <t>IBS1</t>
  </si>
  <si>
    <t>IBS2</t>
  </si>
  <si>
    <t>F3.0B1</t>
  </si>
  <si>
    <t>F4.5B1</t>
  </si>
  <si>
    <t>F3.0B2</t>
  </si>
  <si>
    <t>F4.5B2</t>
  </si>
  <si>
    <t>F3.0B3</t>
  </si>
  <si>
    <t>F4.5B3</t>
  </si>
  <si>
    <t>S-35-0.5</t>
  </si>
  <si>
    <t>S-35-1.0</t>
  </si>
  <si>
    <t>S-35-1.5</t>
  </si>
  <si>
    <t>S-35-2.0</t>
  </si>
  <si>
    <t>HS-50-1.0</t>
  </si>
  <si>
    <t>HS-70-00.5</t>
  </si>
  <si>
    <t>HS-70-1.0</t>
  </si>
  <si>
    <t>MF40</t>
  </si>
  <si>
    <t>M15-0.5%</t>
  </si>
  <si>
    <t>M15-0.5%H</t>
  </si>
  <si>
    <t>M20-0.75%</t>
  </si>
  <si>
    <t>M20-1.0%</t>
  </si>
  <si>
    <t>M20-1.0%A</t>
  </si>
  <si>
    <t>G1B2</t>
  </si>
  <si>
    <t>G1B3</t>
  </si>
  <si>
    <t>G1B5</t>
  </si>
  <si>
    <t>G1B6</t>
  </si>
  <si>
    <t>G2B2</t>
  </si>
  <si>
    <t>G2B3</t>
  </si>
  <si>
    <t>Geometry</t>
  </si>
  <si>
    <t>b</t>
  </si>
  <si>
    <t>(mm)</t>
  </si>
  <si>
    <t>h</t>
  </si>
  <si>
    <t>d</t>
  </si>
  <si>
    <t>l</t>
  </si>
  <si>
    <t>lspan</t>
  </si>
  <si>
    <t>lsup</t>
  </si>
  <si>
    <t>bsup</t>
  </si>
  <si>
    <t>lload</t>
  </si>
  <si>
    <t>bload</t>
  </si>
  <si>
    <t>a</t>
  </si>
  <si>
    <t>av</t>
  </si>
  <si>
    <t>Reinforcement</t>
  </si>
  <si>
    <t>Re</t>
  </si>
  <si>
    <t>nr</t>
  </si>
  <si>
    <t>mm</t>
  </si>
  <si>
    <t>As</t>
  </si>
  <si>
    <t>(mm2)</t>
  </si>
  <si>
    <t>ρ</t>
  </si>
  <si>
    <t>fy</t>
  </si>
  <si>
    <t>(MPa)</t>
  </si>
  <si>
    <t>a/d</t>
  </si>
  <si>
    <t>(-)</t>
  </si>
  <si>
    <t>av/d</t>
  </si>
  <si>
    <t>Concrete mix</t>
  </si>
  <si>
    <t>daggmax</t>
  </si>
  <si>
    <t>fc</t>
  </si>
  <si>
    <t>MPa</t>
  </si>
  <si>
    <t xml:space="preserve">Fibers </t>
  </si>
  <si>
    <t>Fiber type</t>
  </si>
  <si>
    <t>hooked</t>
  </si>
  <si>
    <t>crimped</t>
  </si>
  <si>
    <t>straight smooth</t>
  </si>
  <si>
    <t>hooked + straight</t>
  </si>
  <si>
    <t>flat end</t>
  </si>
  <si>
    <t>flat</t>
  </si>
  <si>
    <t>round</t>
  </si>
  <si>
    <t>mill-cut</t>
  </si>
  <si>
    <t>straight mild steel</t>
  </si>
  <si>
    <t>brass-coated high strength steel</t>
  </si>
  <si>
    <t>smooth straight</t>
  </si>
  <si>
    <t>chopped with butt ends</t>
  </si>
  <si>
    <t>ρf</t>
  </si>
  <si>
    <t>Lfiber</t>
  </si>
  <si>
    <t>Vf</t>
  </si>
  <si>
    <t>%</t>
  </si>
  <si>
    <t>df</t>
  </si>
  <si>
    <t>L/d</t>
  </si>
  <si>
    <t>ftenfiber</t>
  </si>
  <si>
    <t>F</t>
  </si>
  <si>
    <t>Capacity</t>
  </si>
  <si>
    <t xml:space="preserve">Vu </t>
  </si>
  <si>
    <t>(N)</t>
  </si>
  <si>
    <t>Pu</t>
  </si>
  <si>
    <t>(kN)</t>
  </si>
  <si>
    <t>vu</t>
  </si>
  <si>
    <t>vu/sqrt(fc')</t>
  </si>
  <si>
    <t>vu/cbrt(fc)</t>
  </si>
  <si>
    <t>Vu</t>
  </si>
  <si>
    <t>q</t>
  </si>
  <si>
    <t>kN/m</t>
  </si>
  <si>
    <t>Veg</t>
  </si>
  <si>
    <t>Vutot</t>
  </si>
  <si>
    <t>vutot</t>
  </si>
  <si>
    <t>Mpa</t>
  </si>
  <si>
    <t>vutot/sqrt(fc)</t>
  </si>
  <si>
    <t>vutot/cbrt(fc)</t>
  </si>
  <si>
    <t>Meg</t>
  </si>
  <si>
    <t>(kNm)</t>
  </si>
  <si>
    <t>Mp</t>
  </si>
  <si>
    <t>Mtot</t>
  </si>
  <si>
    <t>kNm</t>
  </si>
  <si>
    <t>M/Vd</t>
  </si>
  <si>
    <t>G2B5</t>
  </si>
  <si>
    <t>G2B6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</si>
</sst>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"/>
    <numFmt numFmtId="169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0" xfId="0" applyFill="1" applyBorder="1"/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3" fontId="0" fillId="0" borderId="0" xfId="0" applyNumberFormat="1"/>
    <xf numFmtId="3" fontId="0" fillId="0" borderId="1" xfId="0" applyNumberFormat="1" applyBorder="1"/>
    <xf numFmtId="3" fontId="0" fillId="0" borderId="0" xfId="0" applyNumberFormat="1" applyFill="1" applyBorder="1"/>
    <xf numFmtId="0" fontId="0" fillId="0" borderId="2" xfId="0" applyFill="1" applyBorder="1"/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Border="1"/>
    <xf numFmtId="0" fontId="0" fillId="0" borderId="0" xfId="0" applyBorder="1" applyAlignment="1">
      <alignment horizontal="center" vertical="center"/>
    </xf>
    <xf numFmtId="1" fontId="0" fillId="0" borderId="0" xfId="0" applyNumberFormat="1"/>
    <xf numFmtId="1" fontId="0" fillId="0" borderId="0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/>
    <xf numFmtId="1" fontId="0" fillId="0" borderId="2" xfId="0" applyNumberFormat="1" applyBorder="1"/>
    <xf numFmtId="168" fontId="0" fillId="0" borderId="0" xfId="0" applyNumberFormat="1"/>
    <xf numFmtId="168" fontId="1" fillId="0" borderId="0" xfId="0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168" fontId="0" fillId="0" borderId="0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68" fontId="0" fillId="0" borderId="1" xfId="0" applyNumberFormat="1" applyBorder="1" applyAlignment="1">
      <alignment horizontal="center"/>
    </xf>
    <xf numFmtId="168" fontId="0" fillId="0" borderId="1" xfId="0" applyNumberFormat="1" applyBorder="1"/>
    <xf numFmtId="168" fontId="0" fillId="0" borderId="2" xfId="0" applyNumberFormat="1" applyBorder="1"/>
    <xf numFmtId="1" fontId="1" fillId="0" borderId="0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0" xfId="0" applyNumberFormat="1"/>
    <xf numFmtId="2" fontId="0" fillId="0" borderId="0" xfId="0" applyNumberFormat="1" applyBorder="1" applyAlignment="1">
      <alignment horizontal="center" vertical="center"/>
    </xf>
    <xf numFmtId="2" fontId="0" fillId="0" borderId="1" xfId="0" quotePrefix="1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0" fillId="0" borderId="3" xfId="0" applyNumberFormat="1" applyFill="1" applyBorder="1" applyAlignment="1">
      <alignment horizontal="center" vertical="center"/>
    </xf>
    <xf numFmtId="2" fontId="0" fillId="0" borderId="1" xfId="0" applyNumberFormat="1" applyBorder="1"/>
    <xf numFmtId="2" fontId="0" fillId="0" borderId="0" xfId="0" applyNumberFormat="1" applyFill="1" applyBorder="1"/>
    <xf numFmtId="2" fontId="0" fillId="0" borderId="1" xfId="0" applyNumberFormat="1" applyFill="1" applyBorder="1"/>
    <xf numFmtId="2" fontId="0" fillId="0" borderId="3" xfId="0" applyNumberFormat="1" applyBorder="1"/>
    <xf numFmtId="2" fontId="0" fillId="0" borderId="2" xfId="0" applyNumberFormat="1" applyFill="1" applyBorder="1"/>
    <xf numFmtId="2" fontId="0" fillId="0" borderId="2" xfId="0" applyNumberFormat="1" applyBorder="1"/>
    <xf numFmtId="0" fontId="0" fillId="0" borderId="1" xfId="0" quotePrefix="1" applyBorder="1" applyAlignment="1">
      <alignment horizontal="center" vertical="center"/>
    </xf>
    <xf numFmtId="169" fontId="0" fillId="0" borderId="0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0" borderId="0" xfId="0" applyNumberFormat="1" applyFill="1" applyBorder="1" applyAlignment="1">
      <alignment horizontal="center" vertical="center"/>
    </xf>
    <xf numFmtId="169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" fontId="0" fillId="0" borderId="0" xfId="0" applyNumberFormat="1" applyFill="1" applyBorder="1"/>
    <xf numFmtId="1" fontId="0" fillId="0" borderId="1" xfId="0" applyNumberFormat="1" applyFill="1" applyBorder="1"/>
    <xf numFmtId="1" fontId="0" fillId="0" borderId="3" xfId="0" applyNumberFormat="1" applyFill="1" applyBorder="1"/>
    <xf numFmtId="1" fontId="0" fillId="0" borderId="2" xfId="0" applyNumberFormat="1" applyFill="1" applyBorder="1"/>
    <xf numFmtId="1" fontId="0" fillId="0" borderId="0" xfId="0" applyNumberFormat="1" applyBorder="1"/>
    <xf numFmtId="1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8BD7A-4731-4BF6-ACD6-DF8682621DCC}">
  <dimension ref="A1:BH453"/>
  <sheetViews>
    <sheetView tabSelected="1" workbookViewId="0">
      <selection activeCell="AP495" sqref="AP495"/>
    </sheetView>
  </sheetViews>
  <sheetFormatPr defaultRowHeight="15" x14ac:dyDescent="0.25"/>
  <sheetData>
    <row r="1" spans="1:46" x14ac:dyDescent="0.25">
      <c r="C1" t="s">
        <v>425</v>
      </c>
      <c r="N1" t="s">
        <v>438</v>
      </c>
      <c r="P1" s="21"/>
      <c r="Q1" s="29"/>
      <c r="R1" s="21"/>
      <c r="S1" s="41"/>
      <c r="T1" s="41"/>
      <c r="U1" t="s">
        <v>450</v>
      </c>
      <c r="W1" t="s">
        <v>454</v>
      </c>
      <c r="AB1" s="21"/>
      <c r="AE1" s="21" t="s">
        <v>476</v>
      </c>
      <c r="AF1" s="21"/>
      <c r="AG1" s="41"/>
      <c r="AH1" s="41"/>
      <c r="AI1" s="4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</row>
    <row r="2" spans="1:46" x14ac:dyDescent="0.25">
      <c r="A2" t="s">
        <v>0</v>
      </c>
      <c r="B2" s="5" t="s">
        <v>54</v>
      </c>
      <c r="C2" s="15" t="s">
        <v>426</v>
      </c>
      <c r="D2" s="15" t="s">
        <v>428</v>
      </c>
      <c r="E2" s="15" t="s">
        <v>429</v>
      </c>
      <c r="F2" s="15" t="s">
        <v>430</v>
      </c>
      <c r="G2" s="15" t="s">
        <v>431</v>
      </c>
      <c r="H2" s="15" t="s">
        <v>432</v>
      </c>
      <c r="I2" s="15" t="s">
        <v>433</v>
      </c>
      <c r="J2" s="15" t="s">
        <v>434</v>
      </c>
      <c r="K2" s="15" t="s">
        <v>435</v>
      </c>
      <c r="L2" s="15" t="s">
        <v>436</v>
      </c>
      <c r="M2" s="15" t="s">
        <v>437</v>
      </c>
      <c r="N2" s="20" t="s">
        <v>439</v>
      </c>
      <c r="O2" s="20"/>
      <c r="P2" s="22" t="s">
        <v>442</v>
      </c>
      <c r="Q2" s="30" t="s">
        <v>444</v>
      </c>
      <c r="R2" s="38" t="s">
        <v>445</v>
      </c>
      <c r="S2" s="42" t="s">
        <v>447</v>
      </c>
      <c r="T2" s="42" t="s">
        <v>449</v>
      </c>
      <c r="U2" s="7" t="s">
        <v>451</v>
      </c>
      <c r="V2" s="7" t="s">
        <v>452</v>
      </c>
      <c r="W2" s="7" t="s">
        <v>455</v>
      </c>
      <c r="X2" s="64" t="s">
        <v>468</v>
      </c>
      <c r="Y2" s="7" t="s">
        <v>469</v>
      </c>
      <c r="Z2" s="7" t="s">
        <v>470</v>
      </c>
      <c r="AA2" s="7" t="s">
        <v>472</v>
      </c>
      <c r="AB2" s="24" t="s">
        <v>473</v>
      </c>
      <c r="AC2" s="7" t="s">
        <v>474</v>
      </c>
      <c r="AD2" s="7" t="s">
        <v>475</v>
      </c>
      <c r="AE2" s="24" t="s">
        <v>477</v>
      </c>
      <c r="AF2" s="66" t="s">
        <v>479</v>
      </c>
      <c r="AG2" s="45" t="s">
        <v>481</v>
      </c>
      <c r="AH2" s="45" t="s">
        <v>482</v>
      </c>
      <c r="AI2" s="45" t="s">
        <v>483</v>
      </c>
      <c r="AJ2" s="66" t="s">
        <v>484</v>
      </c>
      <c r="AK2" s="66" t="s">
        <v>485</v>
      </c>
      <c r="AL2" s="66" t="s">
        <v>487</v>
      </c>
      <c r="AM2" s="66" t="s">
        <v>488</v>
      </c>
      <c r="AN2" s="66" t="s">
        <v>489</v>
      </c>
      <c r="AO2" s="66" t="s">
        <v>491</v>
      </c>
      <c r="AP2" s="66" t="s">
        <v>492</v>
      </c>
      <c r="AQ2" s="66" t="s">
        <v>493</v>
      </c>
      <c r="AR2" s="66" t="s">
        <v>495</v>
      </c>
      <c r="AS2" s="66" t="s">
        <v>496</v>
      </c>
      <c r="AT2" s="66" t="s">
        <v>498</v>
      </c>
    </row>
    <row r="3" spans="1:46" x14ac:dyDescent="0.25">
      <c r="B3" s="6"/>
      <c r="C3" s="16" t="s">
        <v>427</v>
      </c>
      <c r="D3" s="16" t="s">
        <v>427</v>
      </c>
      <c r="E3" s="16" t="s">
        <v>427</v>
      </c>
      <c r="F3" s="16" t="s">
        <v>427</v>
      </c>
      <c r="G3" s="16" t="s">
        <v>427</v>
      </c>
      <c r="H3" s="16" t="s">
        <v>427</v>
      </c>
      <c r="I3" s="16" t="s">
        <v>427</v>
      </c>
      <c r="J3" s="16" t="s">
        <v>427</v>
      </c>
      <c r="K3" s="16" t="s">
        <v>427</v>
      </c>
      <c r="L3" s="16" t="s">
        <v>427</v>
      </c>
      <c r="M3" s="16" t="s">
        <v>427</v>
      </c>
      <c r="N3" s="17" t="s">
        <v>440</v>
      </c>
      <c r="O3" s="17" t="s">
        <v>441</v>
      </c>
      <c r="P3" s="23" t="s">
        <v>443</v>
      </c>
      <c r="Q3" s="31"/>
      <c r="R3" s="23" t="s">
        <v>446</v>
      </c>
      <c r="S3" s="43" t="s">
        <v>448</v>
      </c>
      <c r="T3" s="43" t="s">
        <v>448</v>
      </c>
      <c r="U3" s="54" t="s">
        <v>441</v>
      </c>
      <c r="V3" s="17" t="s">
        <v>453</v>
      </c>
      <c r="W3" s="17"/>
      <c r="X3" s="17"/>
      <c r="Y3" s="17" t="s">
        <v>427</v>
      </c>
      <c r="Z3" s="17" t="s">
        <v>471</v>
      </c>
      <c r="AA3" s="17" t="s">
        <v>427</v>
      </c>
      <c r="AB3" s="65" t="s">
        <v>448</v>
      </c>
      <c r="AC3" s="54" t="s">
        <v>446</v>
      </c>
      <c r="AD3" s="54"/>
      <c r="AE3" s="26" t="s">
        <v>478</v>
      </c>
      <c r="AF3" s="66" t="s">
        <v>480</v>
      </c>
      <c r="AG3" s="45" t="s">
        <v>446</v>
      </c>
      <c r="AH3" s="45"/>
      <c r="AI3" s="45"/>
      <c r="AJ3" s="66" t="s">
        <v>480</v>
      </c>
      <c r="AK3" s="66" t="s">
        <v>486</v>
      </c>
      <c r="AL3" s="66" t="s">
        <v>480</v>
      </c>
      <c r="AM3" s="66" t="s">
        <v>480</v>
      </c>
      <c r="AN3" s="66" t="s">
        <v>490</v>
      </c>
      <c r="AO3" s="66"/>
      <c r="AP3" s="66"/>
      <c r="AQ3" s="66" t="s">
        <v>494</v>
      </c>
      <c r="AR3" s="66" t="s">
        <v>494</v>
      </c>
      <c r="AS3" s="66" t="s">
        <v>497</v>
      </c>
      <c r="AT3" s="66"/>
    </row>
    <row r="4" spans="1:46" x14ac:dyDescent="0.25">
      <c r="A4" t="s">
        <v>1</v>
      </c>
      <c r="B4" s="7" t="s">
        <v>55</v>
      </c>
      <c r="C4" s="7">
        <v>150</v>
      </c>
      <c r="D4" s="7">
        <v>300</v>
      </c>
      <c r="E4" s="7">
        <v>251</v>
      </c>
      <c r="F4" s="7">
        <v>1770</v>
      </c>
      <c r="G4" s="7">
        <v>1470</v>
      </c>
      <c r="H4" s="7">
        <v>100</v>
      </c>
      <c r="I4" s="7">
        <v>150</v>
      </c>
      <c r="J4" s="7">
        <v>100</v>
      </c>
      <c r="K4" s="7">
        <v>150</v>
      </c>
      <c r="L4" s="7">
        <v>875</v>
      </c>
      <c r="M4" s="7">
        <f>L4-J4/2-H4/2</f>
        <v>775</v>
      </c>
      <c r="N4" s="7">
        <v>5</v>
      </c>
      <c r="O4" s="7">
        <v>16</v>
      </c>
      <c r="P4" s="24">
        <f>N4*PI()*(O4/2)^2</f>
        <v>1005.3096491487338</v>
      </c>
      <c r="Q4" s="32">
        <f>P4/(C4*E4)</f>
        <v>2.6701451504614445E-2</v>
      </c>
      <c r="R4" s="24">
        <v>565</v>
      </c>
      <c r="S4" s="42">
        <f>L4/E4</f>
        <v>3.4860557768924303</v>
      </c>
      <c r="T4" s="42">
        <f>M4/E4</f>
        <v>3.0876494023904382</v>
      </c>
      <c r="U4" s="55">
        <v>12.5</v>
      </c>
      <c r="V4" s="7">
        <v>28.1</v>
      </c>
      <c r="W4" s="7" t="s">
        <v>456</v>
      </c>
      <c r="X4" s="7">
        <f>IF(W4="hooked",1,IF(W4="crimped",0.75,IF(W4="straight",0.5,"check")))</f>
        <v>1</v>
      </c>
      <c r="Y4" s="7">
        <v>35</v>
      </c>
      <c r="Z4" s="7">
        <v>0.75</v>
      </c>
      <c r="AA4" s="7">
        <v>0.55000000000000004</v>
      </c>
      <c r="AB4" s="24">
        <v>65</v>
      </c>
      <c r="AC4" s="7">
        <v>1100</v>
      </c>
      <c r="AD4" s="7">
        <f>AB4*Z4/100*X4</f>
        <v>0.48749999999999999</v>
      </c>
      <c r="AE4" s="24">
        <v>112950</v>
      </c>
      <c r="AF4" s="66">
        <v>279</v>
      </c>
      <c r="AG4" s="45">
        <v>3</v>
      </c>
      <c r="AH4" s="45">
        <f>AG4/SQRT(V4)</f>
        <v>0.56593700842840866</v>
      </c>
      <c r="AI4" s="45">
        <f>AG4/(V4^(1/3))</f>
        <v>0.9867772948633855</v>
      </c>
      <c r="AJ4" s="21">
        <f t="shared" ref="AJ4:AJ39" si="0">AG4*C4*E4/1000</f>
        <v>112.95</v>
      </c>
      <c r="AK4" s="21">
        <f>25*C4/1000*D4/1000</f>
        <v>1.125</v>
      </c>
      <c r="AL4" s="21">
        <f t="shared" ref="AL4:AL39" si="1">25*C4/1000*D4/1000*F4/1000-25*C4/1000*D4/1000*F4/1000*(F4/2000-(F4-G4)/2000)*1/(G4/1000)-25*C4/1000*D4/1000*(F4-G4)/2000</f>
        <v>0.82687500000000003</v>
      </c>
      <c r="AM4" s="21">
        <f>AJ4+AL4</f>
        <v>113.776875</v>
      </c>
      <c r="AN4" s="41">
        <f>AM4*1000/(C4*E4)</f>
        <v>3.0219621513944221</v>
      </c>
      <c r="AO4" s="41">
        <f>AN4/SQRT(V4)</f>
        <v>0.57008007318134568</v>
      </c>
      <c r="AP4" s="41">
        <f>AN4/(V4^(1/3))</f>
        <v>0.99400121231084149</v>
      </c>
      <c r="AQ4" s="21">
        <f>-AK4/2*((F4-G4)/2000+L4/1000)^2+1/2*AK4*F4/1000*L4/1000</f>
        <v>0.28019531250000007</v>
      </c>
      <c r="AR4" s="21">
        <f>AJ4*L4/1000</f>
        <v>98.831249999999997</v>
      </c>
      <c r="AS4" s="21">
        <f>AQ4+AR4</f>
        <v>99.111445312499995</v>
      </c>
      <c r="AT4" s="41">
        <f>AS4/(AM4*E4/1000)</f>
        <v>3.4705322675284918</v>
      </c>
    </row>
    <row r="5" spans="1:46" x14ac:dyDescent="0.25">
      <c r="A5">
        <v>2014</v>
      </c>
      <c r="B5" s="7" t="s">
        <v>56</v>
      </c>
      <c r="C5" s="7">
        <v>150</v>
      </c>
      <c r="D5" s="7">
        <v>300</v>
      </c>
      <c r="E5" s="7">
        <v>251</v>
      </c>
      <c r="F5" s="7">
        <v>1770</v>
      </c>
      <c r="G5" s="7">
        <v>1470</v>
      </c>
      <c r="H5" s="7">
        <v>100</v>
      </c>
      <c r="I5" s="7">
        <v>150</v>
      </c>
      <c r="J5" s="7">
        <v>100</v>
      </c>
      <c r="K5" s="7">
        <v>150</v>
      </c>
      <c r="L5" s="7">
        <v>875</v>
      </c>
      <c r="M5" s="7">
        <f t="shared" ref="M5:M68" si="2">L5-J5/2-H5/2</f>
        <v>775</v>
      </c>
      <c r="N5" s="7">
        <v>5</v>
      </c>
      <c r="O5" s="7">
        <v>16</v>
      </c>
      <c r="P5" s="24">
        <f t="shared" ref="P5:P68" si="3">N5*PI()*(O5/2)^2</f>
        <v>1005.3096491487338</v>
      </c>
      <c r="Q5" s="32">
        <f t="shared" ref="Q5:Q67" si="4">P5/(C5*E5)</f>
        <v>2.6701451504614445E-2</v>
      </c>
      <c r="R5" s="24">
        <v>565</v>
      </c>
      <c r="S5" s="42">
        <f t="shared" ref="S5:S57" si="5">L5/E5</f>
        <v>3.4860557768924303</v>
      </c>
      <c r="T5" s="42">
        <f t="shared" ref="T5:T68" si="6">M5/E5</f>
        <v>3.0876494023904382</v>
      </c>
      <c r="U5" s="55">
        <v>12.5</v>
      </c>
      <c r="V5" s="7">
        <v>25.3</v>
      </c>
      <c r="W5" s="7" t="s">
        <v>456</v>
      </c>
      <c r="X5" s="7">
        <f t="shared" ref="X5:X68" si="7">IF(W5="hooked",1,IF(W5="crimped",0.75,IF(W5="straight",0.5,"check")))</f>
        <v>1</v>
      </c>
      <c r="Y5" s="7">
        <v>35</v>
      </c>
      <c r="Z5" s="7">
        <v>0.75</v>
      </c>
      <c r="AA5" s="7">
        <v>0.55000000000000004</v>
      </c>
      <c r="AB5" s="24">
        <v>65</v>
      </c>
      <c r="AC5" s="7">
        <v>1100</v>
      </c>
      <c r="AD5" s="7">
        <f t="shared" ref="AD5:AD68" si="8">AB5*Z5/100*X5</f>
        <v>0.48749999999999999</v>
      </c>
      <c r="AE5" s="24">
        <v>79065</v>
      </c>
      <c r="AF5" s="66">
        <v>196</v>
      </c>
      <c r="AG5" s="45">
        <v>2.1</v>
      </c>
      <c r="AH5" s="45">
        <f t="shared" ref="AH5:AH68" si="9">AG5/SQRT(V5)</f>
        <v>0.41750245555596066</v>
      </c>
      <c r="AI5" s="45">
        <f t="shared" ref="AI5:AI68" si="10">AG5/(V5^(1/3))</f>
        <v>0.71533990771405775</v>
      </c>
      <c r="AJ5" s="21">
        <f t="shared" si="0"/>
        <v>79.064999999999998</v>
      </c>
      <c r="AK5" s="21">
        <f t="shared" ref="AK5:AK68" si="11">25*C5/1000*D5/1000</f>
        <v>1.125</v>
      </c>
      <c r="AL5" s="21">
        <f t="shared" si="1"/>
        <v>0.82687500000000003</v>
      </c>
      <c r="AM5" s="21">
        <f t="shared" ref="AM5:AM42" si="12">AJ5+AL5</f>
        <v>79.891874999999999</v>
      </c>
      <c r="AN5" s="41">
        <f t="shared" ref="AN5:AN68" si="13">AM5*1000/(C5*E5)</f>
        <v>2.1219621513944222</v>
      </c>
      <c r="AO5" s="41">
        <f t="shared" ref="AO5:AO68" si="14">AN5/SQRT(V5)</f>
        <v>0.42186876609713353</v>
      </c>
      <c r="AP5" s="41">
        <f t="shared" ref="AP5:AP68" si="15">AN5/(V5^(1/3))</f>
        <v>0.72282105216724257</v>
      </c>
      <c r="AQ5" s="21">
        <f t="shared" ref="AQ5:AQ68" si="16">-AK5/2*((F5-G5)/2000+L5/1000)^2+1/2*AK5*F5/1000*L5/1000</f>
        <v>0.28019531250000007</v>
      </c>
      <c r="AR5" s="21">
        <f t="shared" ref="AR5:AR68" si="17">AJ5*L5/1000</f>
        <v>69.181875000000005</v>
      </c>
      <c r="AS5" s="21">
        <f t="shared" ref="AS5:AS68" si="18">AQ5+AR5</f>
        <v>69.462070312500003</v>
      </c>
      <c r="AT5" s="41">
        <f t="shared" ref="AT5:AT68" si="19">AS5/(AM5*E5/1000)</f>
        <v>3.4639481923043585</v>
      </c>
    </row>
    <row r="6" spans="1:46" x14ac:dyDescent="0.25">
      <c r="B6" s="7" t="s">
        <v>57</v>
      </c>
      <c r="C6" s="7">
        <v>150</v>
      </c>
      <c r="D6" s="7">
        <v>300</v>
      </c>
      <c r="E6" s="7">
        <v>251</v>
      </c>
      <c r="F6" s="7">
        <v>1770</v>
      </c>
      <c r="G6" s="7">
        <v>1470</v>
      </c>
      <c r="H6" s="7">
        <v>100</v>
      </c>
      <c r="I6" s="7">
        <v>150</v>
      </c>
      <c r="J6" s="7">
        <v>100</v>
      </c>
      <c r="K6" s="7">
        <v>150</v>
      </c>
      <c r="L6" s="7">
        <v>875</v>
      </c>
      <c r="M6" s="7">
        <f t="shared" si="2"/>
        <v>775</v>
      </c>
      <c r="N6" s="7">
        <v>5</v>
      </c>
      <c r="O6" s="7">
        <v>16</v>
      </c>
      <c r="P6" s="24">
        <f t="shared" si="3"/>
        <v>1005.3096491487338</v>
      </c>
      <c r="Q6" s="32">
        <f t="shared" si="4"/>
        <v>2.6701451504614445E-2</v>
      </c>
      <c r="R6" s="24">
        <v>565</v>
      </c>
      <c r="S6" s="42">
        <f t="shared" si="5"/>
        <v>3.4860557768924303</v>
      </c>
      <c r="T6" s="42">
        <f t="shared" si="6"/>
        <v>3.0876494023904382</v>
      </c>
      <c r="U6" s="55">
        <v>12.5</v>
      </c>
      <c r="V6" s="7">
        <v>27.9</v>
      </c>
      <c r="W6" s="7" t="s">
        <v>456</v>
      </c>
      <c r="X6" s="7">
        <f t="shared" si="7"/>
        <v>1</v>
      </c>
      <c r="Y6" s="7">
        <v>35</v>
      </c>
      <c r="Z6" s="7">
        <v>1</v>
      </c>
      <c r="AA6" s="7">
        <v>0.55000000000000004</v>
      </c>
      <c r="AB6" s="24">
        <v>65</v>
      </c>
      <c r="AC6" s="7">
        <v>1100</v>
      </c>
      <c r="AD6" s="7">
        <f t="shared" si="8"/>
        <v>0.65</v>
      </c>
      <c r="AE6" s="24">
        <v>109185</v>
      </c>
      <c r="AF6" s="66">
        <v>270</v>
      </c>
      <c r="AG6" s="45">
        <v>2.9</v>
      </c>
      <c r="AH6" s="45">
        <f t="shared" si="9"/>
        <v>0.54902977310549594</v>
      </c>
      <c r="AI6" s="45">
        <f t="shared" si="10"/>
        <v>0.95615858804063725</v>
      </c>
      <c r="AJ6" s="21">
        <f t="shared" si="0"/>
        <v>109.185</v>
      </c>
      <c r="AK6" s="21">
        <f t="shared" si="11"/>
        <v>1.125</v>
      </c>
      <c r="AL6" s="21">
        <f t="shared" si="1"/>
        <v>0.82687500000000003</v>
      </c>
      <c r="AM6" s="21">
        <f t="shared" si="12"/>
        <v>110.011875</v>
      </c>
      <c r="AN6" s="41">
        <f t="shared" si="13"/>
        <v>2.9219621513944225</v>
      </c>
      <c r="AO6" s="41">
        <f t="shared" si="14"/>
        <v>0.553187661035492</v>
      </c>
      <c r="AP6" s="41">
        <f t="shared" si="15"/>
        <v>0.96339972585706002</v>
      </c>
      <c r="AQ6" s="21">
        <f t="shared" si="16"/>
        <v>0.28019531250000007</v>
      </c>
      <c r="AR6" s="21">
        <f t="shared" si="17"/>
        <v>95.536874999999995</v>
      </c>
      <c r="AS6" s="21">
        <f t="shared" si="18"/>
        <v>95.817070312499993</v>
      </c>
      <c r="AT6" s="41">
        <f t="shared" si="19"/>
        <v>3.4700009974928232</v>
      </c>
    </row>
    <row r="7" spans="1:46" x14ac:dyDescent="0.25">
      <c r="B7" s="7" t="s">
        <v>58</v>
      </c>
      <c r="C7" s="7">
        <v>150</v>
      </c>
      <c r="D7" s="7">
        <v>300</v>
      </c>
      <c r="E7" s="7">
        <v>251</v>
      </c>
      <c r="F7" s="7">
        <v>1770</v>
      </c>
      <c r="G7" s="7">
        <v>1470</v>
      </c>
      <c r="H7" s="7">
        <v>100</v>
      </c>
      <c r="I7" s="7">
        <v>150</v>
      </c>
      <c r="J7" s="7">
        <v>100</v>
      </c>
      <c r="K7" s="7">
        <v>150</v>
      </c>
      <c r="L7" s="7">
        <v>875</v>
      </c>
      <c r="M7" s="7">
        <f t="shared" si="2"/>
        <v>775</v>
      </c>
      <c r="N7" s="7">
        <v>5</v>
      </c>
      <c r="O7" s="7">
        <v>16</v>
      </c>
      <c r="P7" s="24">
        <f t="shared" si="3"/>
        <v>1005.3096491487338</v>
      </c>
      <c r="Q7" s="32">
        <f t="shared" si="4"/>
        <v>2.6701451504614445E-2</v>
      </c>
      <c r="R7" s="24">
        <v>565</v>
      </c>
      <c r="S7" s="42">
        <f t="shared" si="5"/>
        <v>3.4860557768924303</v>
      </c>
      <c r="T7" s="42">
        <f t="shared" si="6"/>
        <v>3.0876494023904382</v>
      </c>
      <c r="U7" s="55">
        <v>12.5</v>
      </c>
      <c r="V7" s="7">
        <v>26.2</v>
      </c>
      <c r="W7" s="7" t="s">
        <v>456</v>
      </c>
      <c r="X7" s="7">
        <f t="shared" si="7"/>
        <v>1</v>
      </c>
      <c r="Y7" s="7">
        <v>35</v>
      </c>
      <c r="Z7" s="7">
        <v>1</v>
      </c>
      <c r="AA7" s="7">
        <v>0.55000000000000004</v>
      </c>
      <c r="AB7" s="24">
        <v>65</v>
      </c>
      <c r="AC7" s="7">
        <v>1100</v>
      </c>
      <c r="AD7" s="7">
        <f t="shared" si="8"/>
        <v>0.65</v>
      </c>
      <c r="AE7" s="24">
        <v>123492</v>
      </c>
      <c r="AF7" s="66">
        <v>305</v>
      </c>
      <c r="AG7" s="45">
        <v>3.28</v>
      </c>
      <c r="AH7" s="45">
        <f t="shared" si="9"/>
        <v>0.640801025434942</v>
      </c>
      <c r="AI7" s="45">
        <f t="shared" si="10"/>
        <v>1.1043500282084433</v>
      </c>
      <c r="AJ7" s="21">
        <f t="shared" si="0"/>
        <v>123.49199999999999</v>
      </c>
      <c r="AK7" s="21">
        <f t="shared" si="11"/>
        <v>1.125</v>
      </c>
      <c r="AL7" s="21">
        <f t="shared" si="1"/>
        <v>0.82687500000000003</v>
      </c>
      <c r="AM7" s="21">
        <f t="shared" si="12"/>
        <v>124.31887499999999</v>
      </c>
      <c r="AN7" s="41">
        <f t="shared" si="13"/>
        <v>3.301962151394422</v>
      </c>
      <c r="AO7" s="41">
        <f t="shared" si="14"/>
        <v>0.64509168675637596</v>
      </c>
      <c r="AP7" s="41">
        <f t="shared" si="15"/>
        <v>1.1117445106815984</v>
      </c>
      <c r="AQ7" s="21">
        <f t="shared" si="16"/>
        <v>0.28019531250000007</v>
      </c>
      <c r="AR7" s="21">
        <f t="shared" si="17"/>
        <v>108.05549999999998</v>
      </c>
      <c r="AS7" s="21">
        <f t="shared" si="18"/>
        <v>108.33569531249998</v>
      </c>
      <c r="AT7" s="41">
        <f t="shared" si="19"/>
        <v>3.4718486310791965</v>
      </c>
    </row>
    <row r="8" spans="1:46" x14ac:dyDescent="0.25">
      <c r="B8" s="8" t="s">
        <v>59</v>
      </c>
      <c r="C8" s="7">
        <v>150</v>
      </c>
      <c r="D8" s="7">
        <v>300</v>
      </c>
      <c r="E8" s="7">
        <v>251</v>
      </c>
      <c r="F8" s="7">
        <v>1770</v>
      </c>
      <c r="G8" s="7">
        <v>1470</v>
      </c>
      <c r="H8" s="7">
        <v>100</v>
      </c>
      <c r="I8" s="7">
        <v>150</v>
      </c>
      <c r="J8" s="7">
        <v>100</v>
      </c>
      <c r="K8" s="7">
        <v>150</v>
      </c>
      <c r="L8" s="7">
        <v>875</v>
      </c>
      <c r="M8" s="7">
        <f t="shared" si="2"/>
        <v>775</v>
      </c>
      <c r="N8" s="7">
        <v>5</v>
      </c>
      <c r="O8" s="7">
        <v>16</v>
      </c>
      <c r="P8" s="24">
        <f t="shared" si="3"/>
        <v>1005.3096491487338</v>
      </c>
      <c r="Q8" s="32">
        <f t="shared" si="4"/>
        <v>2.6701451504614445E-2</v>
      </c>
      <c r="R8" s="24">
        <v>565</v>
      </c>
      <c r="S8" s="42">
        <f t="shared" si="5"/>
        <v>3.4860557768924303</v>
      </c>
      <c r="T8" s="42">
        <f t="shared" si="6"/>
        <v>3.0876494023904382</v>
      </c>
      <c r="U8" s="55">
        <v>12.5</v>
      </c>
      <c r="V8" s="7">
        <v>28.1</v>
      </c>
      <c r="W8" s="7" t="s">
        <v>456</v>
      </c>
      <c r="X8" s="7">
        <f t="shared" si="7"/>
        <v>1</v>
      </c>
      <c r="Y8" s="7">
        <v>35</v>
      </c>
      <c r="Z8" s="7">
        <v>1.5</v>
      </c>
      <c r="AA8" s="7">
        <v>0.55000000000000004</v>
      </c>
      <c r="AB8" s="24">
        <v>65</v>
      </c>
      <c r="AC8" s="7">
        <v>1100</v>
      </c>
      <c r="AD8" s="7">
        <f t="shared" si="8"/>
        <v>0.97499999999999998</v>
      </c>
      <c r="AE8" s="24">
        <v>111067.5</v>
      </c>
      <c r="AF8" s="66">
        <v>274</v>
      </c>
      <c r="AG8" s="45">
        <v>2.95</v>
      </c>
      <c r="AH8" s="45">
        <f t="shared" si="9"/>
        <v>0.5565047249546019</v>
      </c>
      <c r="AI8" s="45">
        <f t="shared" si="10"/>
        <v>0.97033100661566241</v>
      </c>
      <c r="AJ8" s="21">
        <f t="shared" si="0"/>
        <v>111.0675</v>
      </c>
      <c r="AK8" s="21">
        <f t="shared" si="11"/>
        <v>1.125</v>
      </c>
      <c r="AL8" s="21">
        <f t="shared" si="1"/>
        <v>0.82687500000000003</v>
      </c>
      <c r="AM8" s="21">
        <f t="shared" si="12"/>
        <v>111.894375</v>
      </c>
      <c r="AN8" s="41">
        <f t="shared" si="13"/>
        <v>2.9719621513944223</v>
      </c>
      <c r="AO8" s="41">
        <f t="shared" si="14"/>
        <v>0.56064778970753892</v>
      </c>
      <c r="AP8" s="41">
        <f t="shared" si="15"/>
        <v>0.9775549240631185</v>
      </c>
      <c r="AQ8" s="21">
        <f t="shared" si="16"/>
        <v>0.28019531250000007</v>
      </c>
      <c r="AR8" s="21">
        <f t="shared" si="17"/>
        <v>97.184062499999996</v>
      </c>
      <c r="AS8" s="21">
        <f t="shared" si="18"/>
        <v>97.464257812499994</v>
      </c>
      <c r="AT8" s="41">
        <f t="shared" si="19"/>
        <v>3.4702711015281666</v>
      </c>
    </row>
    <row r="9" spans="1:46" x14ac:dyDescent="0.25">
      <c r="B9" s="8" t="s">
        <v>60</v>
      </c>
      <c r="C9" s="7">
        <v>150</v>
      </c>
      <c r="D9" s="7">
        <v>300</v>
      </c>
      <c r="E9" s="7">
        <v>251</v>
      </c>
      <c r="F9" s="7">
        <v>1770</v>
      </c>
      <c r="G9" s="7">
        <v>1470</v>
      </c>
      <c r="H9" s="7">
        <v>100</v>
      </c>
      <c r="I9" s="7">
        <v>150</v>
      </c>
      <c r="J9" s="7">
        <v>100</v>
      </c>
      <c r="K9" s="7">
        <v>150</v>
      </c>
      <c r="L9" s="7">
        <v>875</v>
      </c>
      <c r="M9" s="7">
        <f t="shared" si="2"/>
        <v>775</v>
      </c>
      <c r="N9" s="7">
        <v>5</v>
      </c>
      <c r="O9" s="7">
        <v>16</v>
      </c>
      <c r="P9" s="24">
        <f t="shared" si="3"/>
        <v>1005.3096491487338</v>
      </c>
      <c r="Q9" s="32">
        <f t="shared" si="4"/>
        <v>2.6701451504614445E-2</v>
      </c>
      <c r="R9" s="24">
        <v>565</v>
      </c>
      <c r="S9" s="42">
        <f t="shared" si="5"/>
        <v>3.4860557768924303</v>
      </c>
      <c r="T9" s="42">
        <f t="shared" si="6"/>
        <v>3.0876494023904382</v>
      </c>
      <c r="U9" s="55">
        <v>12.5</v>
      </c>
      <c r="V9" s="7">
        <v>27.3</v>
      </c>
      <c r="W9" s="7" t="s">
        <v>456</v>
      </c>
      <c r="X9" s="7">
        <f t="shared" si="7"/>
        <v>1</v>
      </c>
      <c r="Y9" s="7">
        <v>35</v>
      </c>
      <c r="Z9" s="7">
        <v>1.5</v>
      </c>
      <c r="AA9" s="7">
        <v>0.55000000000000004</v>
      </c>
      <c r="AB9" s="24">
        <v>65</v>
      </c>
      <c r="AC9" s="7">
        <v>1100</v>
      </c>
      <c r="AD9" s="7">
        <f t="shared" si="8"/>
        <v>0.97499999999999998</v>
      </c>
      <c r="AE9" s="24">
        <v>131022</v>
      </c>
      <c r="AF9" s="66">
        <v>323</v>
      </c>
      <c r="AG9" s="45">
        <v>3.48</v>
      </c>
      <c r="AH9" s="45">
        <f t="shared" si="9"/>
        <v>0.66603633204532886</v>
      </c>
      <c r="AI9" s="45">
        <f t="shared" si="10"/>
        <v>1.1557352556171401</v>
      </c>
      <c r="AJ9" s="21">
        <f t="shared" si="0"/>
        <v>131.02199999999999</v>
      </c>
      <c r="AK9" s="21">
        <f t="shared" si="11"/>
        <v>1.125</v>
      </c>
      <c r="AL9" s="21">
        <f t="shared" si="1"/>
        <v>0.82687500000000003</v>
      </c>
      <c r="AM9" s="21">
        <f t="shared" si="12"/>
        <v>131.84887499999999</v>
      </c>
      <c r="AN9" s="41">
        <f t="shared" si="13"/>
        <v>3.5019621513944221</v>
      </c>
      <c r="AO9" s="41">
        <f t="shared" si="14"/>
        <v>0.67023966272307745</v>
      </c>
      <c r="AP9" s="41">
        <f t="shared" si="15"/>
        <v>1.1630290581044203</v>
      </c>
      <c r="AQ9" s="21">
        <f t="shared" si="16"/>
        <v>0.28019531250000007</v>
      </c>
      <c r="AR9" s="21">
        <f t="shared" si="17"/>
        <v>114.64424999999999</v>
      </c>
      <c r="AS9" s="21">
        <f t="shared" si="18"/>
        <v>114.92444531249998</v>
      </c>
      <c r="AT9" s="41">
        <f t="shared" si="19"/>
        <v>3.4726600131101293</v>
      </c>
    </row>
    <row r="10" spans="1:46" x14ac:dyDescent="0.25">
      <c r="B10" s="8" t="s">
        <v>61</v>
      </c>
      <c r="C10" s="7">
        <v>150</v>
      </c>
      <c r="D10" s="7">
        <v>300</v>
      </c>
      <c r="E10" s="7">
        <v>251</v>
      </c>
      <c r="F10" s="7">
        <v>1770</v>
      </c>
      <c r="G10" s="7">
        <v>1470</v>
      </c>
      <c r="H10" s="7">
        <v>100</v>
      </c>
      <c r="I10" s="7">
        <v>150</v>
      </c>
      <c r="J10" s="7">
        <v>100</v>
      </c>
      <c r="K10" s="7">
        <v>150</v>
      </c>
      <c r="L10" s="7">
        <v>875</v>
      </c>
      <c r="M10" s="7">
        <f t="shared" si="2"/>
        <v>775</v>
      </c>
      <c r="N10" s="7">
        <v>5</v>
      </c>
      <c r="O10" s="7">
        <v>16</v>
      </c>
      <c r="P10" s="24">
        <f t="shared" si="3"/>
        <v>1005.3096491487338</v>
      </c>
      <c r="Q10" s="32">
        <f t="shared" si="4"/>
        <v>2.6701451504614445E-2</v>
      </c>
      <c r="R10" s="24">
        <v>565</v>
      </c>
      <c r="S10" s="42">
        <f t="shared" si="5"/>
        <v>3.4860557768924303</v>
      </c>
      <c r="T10" s="42">
        <f t="shared" si="6"/>
        <v>3.0876494023904382</v>
      </c>
      <c r="U10" s="55">
        <v>12.5</v>
      </c>
      <c r="V10" s="7">
        <v>27.5</v>
      </c>
      <c r="W10" s="7" t="s">
        <v>456</v>
      </c>
      <c r="X10" s="7">
        <f t="shared" si="7"/>
        <v>1</v>
      </c>
      <c r="Y10" s="7">
        <v>60</v>
      </c>
      <c r="Z10" s="7">
        <v>0.5</v>
      </c>
      <c r="AA10" s="7">
        <v>0.75</v>
      </c>
      <c r="AB10" s="24">
        <v>80</v>
      </c>
      <c r="AC10" s="7">
        <v>1050</v>
      </c>
      <c r="AD10" s="7">
        <f t="shared" si="8"/>
        <v>0.4</v>
      </c>
      <c r="AE10" s="24">
        <v>64757.999999999993</v>
      </c>
      <c r="AF10" s="66">
        <v>160</v>
      </c>
      <c r="AG10" s="45">
        <v>1.72</v>
      </c>
      <c r="AH10" s="45">
        <f t="shared" si="9"/>
        <v>0.32799113070048375</v>
      </c>
      <c r="AI10" s="45">
        <f t="shared" si="10"/>
        <v>0.56983731145177463</v>
      </c>
      <c r="AJ10" s="21">
        <f t="shared" si="0"/>
        <v>64.757999999999996</v>
      </c>
      <c r="AK10" s="21">
        <f t="shared" si="11"/>
        <v>1.125</v>
      </c>
      <c r="AL10" s="21">
        <f t="shared" si="1"/>
        <v>0.82687500000000003</v>
      </c>
      <c r="AM10" s="21">
        <f t="shared" si="12"/>
        <v>65.584874999999997</v>
      </c>
      <c r="AN10" s="41">
        <f t="shared" si="13"/>
        <v>1.7419621513944223</v>
      </c>
      <c r="AO10" s="41">
        <f t="shared" si="14"/>
        <v>0.33217914864726966</v>
      </c>
      <c r="AP10" s="41">
        <f t="shared" si="15"/>
        <v>0.57711338895427144</v>
      </c>
      <c r="AQ10" s="21">
        <f t="shared" si="16"/>
        <v>0.28019531250000007</v>
      </c>
      <c r="AR10" s="21">
        <f t="shared" si="17"/>
        <v>56.663249999999991</v>
      </c>
      <c r="AS10" s="21">
        <f t="shared" si="18"/>
        <v>56.943445312499989</v>
      </c>
      <c r="AT10" s="41">
        <f t="shared" si="19"/>
        <v>3.4591255374971088</v>
      </c>
    </row>
    <row r="11" spans="1:46" x14ac:dyDescent="0.25">
      <c r="B11" s="8" t="s">
        <v>62</v>
      </c>
      <c r="C11" s="7">
        <v>150</v>
      </c>
      <c r="D11" s="7">
        <v>300</v>
      </c>
      <c r="E11" s="7">
        <v>251</v>
      </c>
      <c r="F11" s="7">
        <v>1770</v>
      </c>
      <c r="G11" s="7">
        <v>1470</v>
      </c>
      <c r="H11" s="7">
        <v>100</v>
      </c>
      <c r="I11" s="7">
        <v>150</v>
      </c>
      <c r="J11" s="7">
        <v>100</v>
      </c>
      <c r="K11" s="7">
        <v>150</v>
      </c>
      <c r="L11" s="7">
        <v>875</v>
      </c>
      <c r="M11" s="7">
        <f t="shared" si="2"/>
        <v>775</v>
      </c>
      <c r="N11" s="7">
        <v>5</v>
      </c>
      <c r="O11" s="7">
        <v>16</v>
      </c>
      <c r="P11" s="24">
        <f t="shared" si="3"/>
        <v>1005.3096491487338</v>
      </c>
      <c r="Q11" s="32">
        <f t="shared" si="4"/>
        <v>2.6701451504614445E-2</v>
      </c>
      <c r="R11" s="24">
        <v>565</v>
      </c>
      <c r="S11" s="42">
        <f t="shared" si="5"/>
        <v>3.4860557768924303</v>
      </c>
      <c r="T11" s="42">
        <f t="shared" si="6"/>
        <v>3.0876494023904382</v>
      </c>
      <c r="U11" s="55">
        <v>12.5</v>
      </c>
      <c r="V11" s="7">
        <v>24.9</v>
      </c>
      <c r="W11" s="7" t="s">
        <v>456</v>
      </c>
      <c r="X11" s="7">
        <f t="shared" si="7"/>
        <v>1</v>
      </c>
      <c r="Y11" s="7">
        <v>60</v>
      </c>
      <c r="Z11" s="7">
        <v>0.5</v>
      </c>
      <c r="AA11" s="7">
        <v>0.75</v>
      </c>
      <c r="AB11" s="24">
        <v>80</v>
      </c>
      <c r="AC11" s="7">
        <v>1050</v>
      </c>
      <c r="AD11" s="7">
        <f t="shared" si="8"/>
        <v>0.4</v>
      </c>
      <c r="AE11" s="24">
        <v>77182.5</v>
      </c>
      <c r="AF11" s="66">
        <v>191</v>
      </c>
      <c r="AG11" s="45">
        <v>2.0499999999999998</v>
      </c>
      <c r="AH11" s="45">
        <f t="shared" si="9"/>
        <v>0.41082246822880369</v>
      </c>
      <c r="AI11" s="45">
        <f t="shared" si="10"/>
        <v>0.70202742553444086</v>
      </c>
      <c r="AJ11" s="21">
        <f t="shared" si="0"/>
        <v>77.182500000000005</v>
      </c>
      <c r="AK11" s="21">
        <f t="shared" si="11"/>
        <v>1.125</v>
      </c>
      <c r="AL11" s="21">
        <f t="shared" si="1"/>
        <v>0.82687500000000003</v>
      </c>
      <c r="AM11" s="21">
        <f t="shared" si="12"/>
        <v>78.009375000000006</v>
      </c>
      <c r="AN11" s="41">
        <f t="shared" si="13"/>
        <v>2.0719621513944224</v>
      </c>
      <c r="AO11" s="41">
        <f t="shared" si="14"/>
        <v>0.41522370981098483</v>
      </c>
      <c r="AP11" s="41">
        <f t="shared" si="15"/>
        <v>0.70954841704791605</v>
      </c>
      <c r="AQ11" s="21">
        <f t="shared" si="16"/>
        <v>0.28019531250000007</v>
      </c>
      <c r="AR11" s="21">
        <f t="shared" si="17"/>
        <v>67.534687500000004</v>
      </c>
      <c r="AS11" s="21">
        <f t="shared" si="18"/>
        <v>67.814882812500002</v>
      </c>
      <c r="AT11" s="41">
        <f t="shared" si="19"/>
        <v>3.4634146983751091</v>
      </c>
    </row>
    <row r="12" spans="1:46" x14ac:dyDescent="0.25">
      <c r="B12" s="8" t="s">
        <v>63</v>
      </c>
      <c r="C12" s="7">
        <v>150</v>
      </c>
      <c r="D12" s="7">
        <v>300</v>
      </c>
      <c r="E12" s="7">
        <v>251</v>
      </c>
      <c r="F12" s="7">
        <v>1770</v>
      </c>
      <c r="G12" s="7">
        <v>1470</v>
      </c>
      <c r="H12" s="7">
        <v>100</v>
      </c>
      <c r="I12" s="7">
        <v>150</v>
      </c>
      <c r="J12" s="7">
        <v>100</v>
      </c>
      <c r="K12" s="7">
        <v>150</v>
      </c>
      <c r="L12" s="7">
        <v>875</v>
      </c>
      <c r="M12" s="7">
        <f t="shared" si="2"/>
        <v>775</v>
      </c>
      <c r="N12" s="7">
        <v>5</v>
      </c>
      <c r="O12" s="7">
        <v>16</v>
      </c>
      <c r="P12" s="24">
        <f t="shared" si="3"/>
        <v>1005.3096491487338</v>
      </c>
      <c r="Q12" s="32">
        <f t="shared" si="4"/>
        <v>2.6701451504614445E-2</v>
      </c>
      <c r="R12" s="24">
        <v>565</v>
      </c>
      <c r="S12" s="42">
        <f t="shared" si="5"/>
        <v>3.4860557768924303</v>
      </c>
      <c r="T12" s="42">
        <f t="shared" si="6"/>
        <v>3.0876494023904382</v>
      </c>
      <c r="U12" s="55">
        <v>12.5</v>
      </c>
      <c r="V12" s="7">
        <v>27.8</v>
      </c>
      <c r="W12" s="7" t="s">
        <v>456</v>
      </c>
      <c r="X12" s="7">
        <f t="shared" si="7"/>
        <v>1</v>
      </c>
      <c r="Y12" s="7">
        <v>60</v>
      </c>
      <c r="Z12" s="7">
        <v>0.75</v>
      </c>
      <c r="AA12" s="7">
        <v>0.75</v>
      </c>
      <c r="AB12" s="24">
        <v>80</v>
      </c>
      <c r="AC12" s="7">
        <v>1050</v>
      </c>
      <c r="AD12" s="7">
        <f t="shared" si="8"/>
        <v>0.6</v>
      </c>
      <c r="AE12" s="24">
        <v>91113</v>
      </c>
      <c r="AF12" s="66">
        <v>225</v>
      </c>
      <c r="AG12" s="45">
        <v>2.42</v>
      </c>
      <c r="AH12" s="45">
        <f t="shared" si="9"/>
        <v>0.45897916129558336</v>
      </c>
      <c r="AI12" s="45">
        <f t="shared" si="10"/>
        <v>0.7988534234350374</v>
      </c>
      <c r="AJ12" s="21">
        <f t="shared" si="0"/>
        <v>91.113</v>
      </c>
      <c r="AK12" s="21">
        <f t="shared" si="11"/>
        <v>1.125</v>
      </c>
      <c r="AL12" s="21">
        <f t="shared" si="1"/>
        <v>0.82687500000000003</v>
      </c>
      <c r="AM12" s="21">
        <f t="shared" si="12"/>
        <v>91.939875000000001</v>
      </c>
      <c r="AN12" s="41">
        <f t="shared" si="13"/>
        <v>2.4419621513944225</v>
      </c>
      <c r="AO12" s="41">
        <f t="shared" si="14"/>
        <v>0.4631445207283349</v>
      </c>
      <c r="AP12" s="41">
        <f t="shared" si="15"/>
        <v>0.80610323328108413</v>
      </c>
      <c r="AQ12" s="21">
        <f t="shared" si="16"/>
        <v>0.28019531250000007</v>
      </c>
      <c r="AR12" s="21">
        <f t="shared" si="17"/>
        <v>79.723875000000007</v>
      </c>
      <c r="AS12" s="21">
        <f t="shared" si="18"/>
        <v>80.004070312500005</v>
      </c>
      <c r="AT12" s="41">
        <f t="shared" si="19"/>
        <v>3.4668452179868177</v>
      </c>
    </row>
    <row r="13" spans="1:46" x14ac:dyDescent="0.25">
      <c r="B13" s="8" t="s">
        <v>64</v>
      </c>
      <c r="C13" s="7">
        <v>150</v>
      </c>
      <c r="D13" s="7">
        <v>300</v>
      </c>
      <c r="E13" s="7">
        <v>251</v>
      </c>
      <c r="F13" s="7">
        <v>1770</v>
      </c>
      <c r="G13" s="7">
        <v>1470</v>
      </c>
      <c r="H13" s="7">
        <v>100</v>
      </c>
      <c r="I13" s="7">
        <v>150</v>
      </c>
      <c r="J13" s="7">
        <v>100</v>
      </c>
      <c r="K13" s="7">
        <v>150</v>
      </c>
      <c r="L13" s="7">
        <v>875</v>
      </c>
      <c r="M13" s="7">
        <f t="shared" si="2"/>
        <v>775</v>
      </c>
      <c r="N13" s="7">
        <v>5</v>
      </c>
      <c r="O13" s="7">
        <v>16</v>
      </c>
      <c r="P13" s="24">
        <f t="shared" si="3"/>
        <v>1005.3096491487338</v>
      </c>
      <c r="Q13" s="32">
        <f t="shared" si="4"/>
        <v>2.6701451504614445E-2</v>
      </c>
      <c r="R13" s="24">
        <v>565</v>
      </c>
      <c r="S13" s="42">
        <f t="shared" si="5"/>
        <v>3.4860557768924303</v>
      </c>
      <c r="T13" s="42">
        <f t="shared" si="6"/>
        <v>3.0876494023904382</v>
      </c>
      <c r="U13" s="55">
        <v>12.5</v>
      </c>
      <c r="V13" s="7">
        <v>27.3</v>
      </c>
      <c r="W13" s="7" t="s">
        <v>456</v>
      </c>
      <c r="X13" s="7">
        <f t="shared" si="7"/>
        <v>1</v>
      </c>
      <c r="Y13" s="7">
        <v>60</v>
      </c>
      <c r="Z13" s="7">
        <v>0.75</v>
      </c>
      <c r="AA13" s="7">
        <v>0.75</v>
      </c>
      <c r="AB13" s="24">
        <v>80</v>
      </c>
      <c r="AC13" s="7">
        <v>1050</v>
      </c>
      <c r="AD13" s="7">
        <f t="shared" si="8"/>
        <v>0.6</v>
      </c>
      <c r="AE13" s="24">
        <v>101655</v>
      </c>
      <c r="AF13" s="66">
        <v>252</v>
      </c>
      <c r="AG13" s="45">
        <v>2.7</v>
      </c>
      <c r="AH13" s="45">
        <f t="shared" si="9"/>
        <v>0.51675232658689318</v>
      </c>
      <c r="AI13" s="45">
        <f t="shared" si="10"/>
        <v>0.89669114659950533</v>
      </c>
      <c r="AJ13" s="21">
        <f t="shared" si="0"/>
        <v>101.655</v>
      </c>
      <c r="AK13" s="21">
        <f t="shared" si="11"/>
        <v>1.125</v>
      </c>
      <c r="AL13" s="21">
        <f t="shared" si="1"/>
        <v>0.82687500000000003</v>
      </c>
      <c r="AM13" s="21">
        <f t="shared" si="12"/>
        <v>102.481875</v>
      </c>
      <c r="AN13" s="41">
        <f t="shared" si="13"/>
        <v>2.7219621513944223</v>
      </c>
      <c r="AO13" s="41">
        <f t="shared" si="14"/>
        <v>0.52095565726464177</v>
      </c>
      <c r="AP13" s="41">
        <f t="shared" si="15"/>
        <v>0.90398494908678551</v>
      </c>
      <c r="AQ13" s="21">
        <f t="shared" si="16"/>
        <v>0.28019531250000007</v>
      </c>
      <c r="AR13" s="21">
        <f t="shared" si="17"/>
        <v>88.948125000000005</v>
      </c>
      <c r="AS13" s="21">
        <f t="shared" si="18"/>
        <v>89.228320312500003</v>
      </c>
      <c r="AT13" s="41">
        <f t="shared" si="19"/>
        <v>3.4688213499807232</v>
      </c>
    </row>
    <row r="14" spans="1:46" x14ac:dyDescent="0.25">
      <c r="B14" s="8" t="s">
        <v>65</v>
      </c>
      <c r="C14" s="7">
        <v>150</v>
      </c>
      <c r="D14" s="7">
        <v>300</v>
      </c>
      <c r="E14" s="7">
        <v>251</v>
      </c>
      <c r="F14" s="7">
        <v>1770</v>
      </c>
      <c r="G14" s="7">
        <v>1470</v>
      </c>
      <c r="H14" s="7">
        <v>100</v>
      </c>
      <c r="I14" s="7">
        <v>150</v>
      </c>
      <c r="J14" s="7">
        <v>100</v>
      </c>
      <c r="K14" s="7">
        <v>150</v>
      </c>
      <c r="L14" s="7">
        <v>875</v>
      </c>
      <c r="M14" s="7">
        <f t="shared" si="2"/>
        <v>775</v>
      </c>
      <c r="N14" s="7">
        <v>5</v>
      </c>
      <c r="O14" s="7">
        <v>16</v>
      </c>
      <c r="P14" s="24">
        <f t="shared" si="3"/>
        <v>1005.3096491487338</v>
      </c>
      <c r="Q14" s="32">
        <f t="shared" si="4"/>
        <v>2.6701451504614445E-2</v>
      </c>
      <c r="R14" s="24">
        <v>565</v>
      </c>
      <c r="S14" s="42">
        <f t="shared" si="5"/>
        <v>3.4860557768924303</v>
      </c>
      <c r="T14" s="42">
        <f t="shared" si="6"/>
        <v>3.0876494023904382</v>
      </c>
      <c r="U14" s="55">
        <v>12.5</v>
      </c>
      <c r="V14" s="7">
        <v>26.3</v>
      </c>
      <c r="W14" s="7" t="s">
        <v>456</v>
      </c>
      <c r="X14" s="7">
        <f t="shared" si="7"/>
        <v>1</v>
      </c>
      <c r="Y14" s="7">
        <v>60</v>
      </c>
      <c r="Z14" s="7">
        <v>1</v>
      </c>
      <c r="AA14" s="7">
        <v>0.75</v>
      </c>
      <c r="AB14" s="24">
        <v>80</v>
      </c>
      <c r="AC14" s="7">
        <v>1050</v>
      </c>
      <c r="AD14" s="7">
        <f t="shared" si="8"/>
        <v>0.8</v>
      </c>
      <c r="AE14" s="24">
        <v>115962</v>
      </c>
      <c r="AF14" s="66">
        <v>287</v>
      </c>
      <c r="AG14" s="45">
        <v>3.08</v>
      </c>
      <c r="AH14" s="45">
        <f t="shared" si="9"/>
        <v>0.60058273349461455</v>
      </c>
      <c r="AI14" s="45">
        <f t="shared" si="10"/>
        <v>1.0356956058568911</v>
      </c>
      <c r="AJ14" s="21">
        <f t="shared" si="0"/>
        <v>115.962</v>
      </c>
      <c r="AK14" s="21">
        <f t="shared" si="11"/>
        <v>1.125</v>
      </c>
      <c r="AL14" s="21">
        <f t="shared" si="1"/>
        <v>0.82687500000000003</v>
      </c>
      <c r="AM14" s="21">
        <f t="shared" si="12"/>
        <v>116.788875</v>
      </c>
      <c r="AN14" s="41">
        <f t="shared" si="13"/>
        <v>3.1019621513944222</v>
      </c>
      <c r="AO14" s="41">
        <f t="shared" si="14"/>
        <v>0.60486522989652514</v>
      </c>
      <c r="AP14" s="41">
        <f t="shared" si="15"/>
        <v>1.0430807044589583</v>
      </c>
      <c r="AQ14" s="21">
        <f t="shared" si="16"/>
        <v>0.28019531250000007</v>
      </c>
      <c r="AR14" s="21">
        <f t="shared" si="17"/>
        <v>101.46675</v>
      </c>
      <c r="AS14" s="21">
        <f t="shared" si="18"/>
        <v>101.7469453125</v>
      </c>
      <c r="AT14" s="41">
        <f t="shared" si="19"/>
        <v>3.4709326208173148</v>
      </c>
    </row>
    <row r="15" spans="1:46" x14ac:dyDescent="0.25">
      <c r="B15" s="8" t="s">
        <v>66</v>
      </c>
      <c r="C15" s="7">
        <v>150</v>
      </c>
      <c r="D15" s="7">
        <v>300</v>
      </c>
      <c r="E15" s="7">
        <v>251</v>
      </c>
      <c r="F15" s="7">
        <v>1770</v>
      </c>
      <c r="G15" s="7">
        <v>1470</v>
      </c>
      <c r="H15" s="7">
        <v>100</v>
      </c>
      <c r="I15" s="7">
        <v>150</v>
      </c>
      <c r="J15" s="7">
        <v>100</v>
      </c>
      <c r="K15" s="7">
        <v>150</v>
      </c>
      <c r="L15" s="7">
        <v>875</v>
      </c>
      <c r="M15" s="7">
        <f t="shared" si="2"/>
        <v>775</v>
      </c>
      <c r="N15" s="7">
        <v>5</v>
      </c>
      <c r="O15" s="7">
        <v>16</v>
      </c>
      <c r="P15" s="24">
        <f t="shared" si="3"/>
        <v>1005.3096491487338</v>
      </c>
      <c r="Q15" s="32">
        <f t="shared" si="4"/>
        <v>2.6701451504614445E-2</v>
      </c>
      <c r="R15" s="24">
        <v>565</v>
      </c>
      <c r="S15" s="42">
        <f t="shared" si="5"/>
        <v>3.4860557768924303</v>
      </c>
      <c r="T15" s="42">
        <f t="shared" si="6"/>
        <v>3.0876494023904382</v>
      </c>
      <c r="U15" s="55">
        <v>12.5</v>
      </c>
      <c r="V15" s="7">
        <v>27.1</v>
      </c>
      <c r="W15" s="7" t="s">
        <v>456</v>
      </c>
      <c r="X15" s="7">
        <f t="shared" si="7"/>
        <v>1</v>
      </c>
      <c r="Y15" s="7">
        <v>60</v>
      </c>
      <c r="Z15" s="7">
        <v>1</v>
      </c>
      <c r="AA15" s="7">
        <v>0.75</v>
      </c>
      <c r="AB15" s="24">
        <v>80</v>
      </c>
      <c r="AC15" s="7">
        <v>1050</v>
      </c>
      <c r="AD15" s="7">
        <f t="shared" si="8"/>
        <v>0.8</v>
      </c>
      <c r="AE15" s="24">
        <v>104667</v>
      </c>
      <c r="AF15" s="66">
        <v>259</v>
      </c>
      <c r="AG15" s="45">
        <v>2.78</v>
      </c>
      <c r="AH15" s="45">
        <f t="shared" si="9"/>
        <v>0.53402323152473252</v>
      </c>
      <c r="AI15" s="45">
        <f t="shared" si="10"/>
        <v>0.92552545040533185</v>
      </c>
      <c r="AJ15" s="21">
        <f t="shared" si="0"/>
        <v>104.66699999999999</v>
      </c>
      <c r="AK15" s="21">
        <f t="shared" si="11"/>
        <v>1.125</v>
      </c>
      <c r="AL15" s="21">
        <f t="shared" si="1"/>
        <v>0.82687500000000003</v>
      </c>
      <c r="AM15" s="21">
        <f t="shared" si="12"/>
        <v>105.49387499999999</v>
      </c>
      <c r="AN15" s="41">
        <f t="shared" si="13"/>
        <v>2.801962151394422</v>
      </c>
      <c r="AO15" s="41">
        <f t="shared" si="14"/>
        <v>0.53824204413584209</v>
      </c>
      <c r="AP15" s="41">
        <f t="shared" si="15"/>
        <v>0.93283715186619254</v>
      </c>
      <c r="AQ15" s="21">
        <f t="shared" si="16"/>
        <v>0.28019531250000007</v>
      </c>
      <c r="AR15" s="21">
        <f t="shared" si="17"/>
        <v>91.583624999999984</v>
      </c>
      <c r="AS15" s="21">
        <f t="shared" si="18"/>
        <v>91.863820312499982</v>
      </c>
      <c r="AT15" s="41">
        <f t="shared" si="19"/>
        <v>3.4693134173529576</v>
      </c>
    </row>
    <row r="16" spans="1:46" x14ac:dyDescent="0.25">
      <c r="B16" s="8" t="s">
        <v>67</v>
      </c>
      <c r="C16" s="7">
        <v>150</v>
      </c>
      <c r="D16" s="7">
        <v>300</v>
      </c>
      <c r="E16" s="7">
        <v>251</v>
      </c>
      <c r="F16" s="7">
        <v>1770</v>
      </c>
      <c r="G16" s="7">
        <v>1470</v>
      </c>
      <c r="H16" s="7">
        <v>100</v>
      </c>
      <c r="I16" s="7">
        <v>150</v>
      </c>
      <c r="J16" s="7">
        <v>100</v>
      </c>
      <c r="K16" s="7">
        <v>150</v>
      </c>
      <c r="L16" s="7">
        <v>875</v>
      </c>
      <c r="M16" s="7">
        <f t="shared" si="2"/>
        <v>775</v>
      </c>
      <c r="N16" s="7">
        <v>5</v>
      </c>
      <c r="O16" s="7">
        <v>16</v>
      </c>
      <c r="P16" s="24">
        <f t="shared" si="3"/>
        <v>1005.3096491487338</v>
      </c>
      <c r="Q16" s="32">
        <f t="shared" si="4"/>
        <v>2.6701451504614445E-2</v>
      </c>
      <c r="R16" s="24">
        <v>565</v>
      </c>
      <c r="S16" s="42">
        <f t="shared" si="5"/>
        <v>3.4860557768924303</v>
      </c>
      <c r="T16" s="42">
        <f t="shared" si="6"/>
        <v>3.0876494023904382</v>
      </c>
      <c r="U16" s="55">
        <v>12.5</v>
      </c>
      <c r="V16" s="7">
        <v>53.4</v>
      </c>
      <c r="W16" s="7" t="s">
        <v>456</v>
      </c>
      <c r="X16" s="7">
        <f t="shared" si="7"/>
        <v>1</v>
      </c>
      <c r="Y16" s="7">
        <v>35</v>
      </c>
      <c r="Z16" s="7">
        <v>0.75</v>
      </c>
      <c r="AA16" s="7">
        <v>0.55000000000000004</v>
      </c>
      <c r="AB16" s="24">
        <v>65</v>
      </c>
      <c r="AC16" s="7">
        <v>1100</v>
      </c>
      <c r="AD16" s="7">
        <f t="shared" si="8"/>
        <v>0.48749999999999999</v>
      </c>
      <c r="AE16" s="24">
        <v>112950</v>
      </c>
      <c r="AF16" s="66">
        <v>279</v>
      </c>
      <c r="AG16" s="45">
        <v>3</v>
      </c>
      <c r="AH16" s="45">
        <f t="shared" si="9"/>
        <v>0.41053541362798002</v>
      </c>
      <c r="AI16" s="45">
        <f t="shared" si="10"/>
        <v>0.79666212254932411</v>
      </c>
      <c r="AJ16" s="21">
        <f t="shared" si="0"/>
        <v>112.95</v>
      </c>
      <c r="AK16" s="21">
        <f t="shared" si="11"/>
        <v>1.125</v>
      </c>
      <c r="AL16" s="21">
        <f t="shared" si="1"/>
        <v>0.82687500000000003</v>
      </c>
      <c r="AM16" s="21">
        <f t="shared" si="12"/>
        <v>113.776875</v>
      </c>
      <c r="AN16" s="41">
        <f t="shared" si="13"/>
        <v>3.0219621513944221</v>
      </c>
      <c r="AO16" s="41">
        <f t="shared" si="14"/>
        <v>0.41354082726360314</v>
      </c>
      <c r="AP16" s="41">
        <f t="shared" si="15"/>
        <v>0.80249426059786744</v>
      </c>
      <c r="AQ16" s="21">
        <f t="shared" si="16"/>
        <v>0.28019531250000007</v>
      </c>
      <c r="AR16" s="21">
        <f t="shared" si="17"/>
        <v>98.831249999999997</v>
      </c>
      <c r="AS16" s="21">
        <f t="shared" si="18"/>
        <v>99.111445312499995</v>
      </c>
      <c r="AT16" s="41">
        <f t="shared" si="19"/>
        <v>3.4705322675284918</v>
      </c>
    </row>
    <row r="17" spans="2:46" x14ac:dyDescent="0.25">
      <c r="B17" s="8" t="s">
        <v>68</v>
      </c>
      <c r="C17" s="7">
        <v>150</v>
      </c>
      <c r="D17" s="7">
        <v>300</v>
      </c>
      <c r="E17" s="7">
        <v>251</v>
      </c>
      <c r="F17" s="7">
        <v>1770</v>
      </c>
      <c r="G17" s="7">
        <v>1470</v>
      </c>
      <c r="H17" s="7">
        <v>100</v>
      </c>
      <c r="I17" s="7">
        <v>150</v>
      </c>
      <c r="J17" s="7">
        <v>100</v>
      </c>
      <c r="K17" s="7">
        <v>150</v>
      </c>
      <c r="L17" s="7">
        <v>875</v>
      </c>
      <c r="M17" s="7">
        <f t="shared" si="2"/>
        <v>775</v>
      </c>
      <c r="N17" s="7">
        <v>5</v>
      </c>
      <c r="O17" s="7">
        <v>16</v>
      </c>
      <c r="P17" s="24">
        <f t="shared" si="3"/>
        <v>1005.3096491487338</v>
      </c>
      <c r="Q17" s="32">
        <f t="shared" si="4"/>
        <v>2.6701451504614445E-2</v>
      </c>
      <c r="R17" s="24">
        <v>565</v>
      </c>
      <c r="S17" s="42">
        <f t="shared" si="5"/>
        <v>3.4860557768924303</v>
      </c>
      <c r="T17" s="42">
        <f t="shared" si="6"/>
        <v>3.0876494023904382</v>
      </c>
      <c r="U17" s="55">
        <v>12.5</v>
      </c>
      <c r="V17" s="7">
        <v>54.1</v>
      </c>
      <c r="W17" s="7" t="s">
        <v>456</v>
      </c>
      <c r="X17" s="7">
        <f t="shared" si="7"/>
        <v>1</v>
      </c>
      <c r="Y17" s="7">
        <v>35</v>
      </c>
      <c r="Z17" s="7">
        <v>0.75</v>
      </c>
      <c r="AA17" s="7">
        <v>0.55000000000000004</v>
      </c>
      <c r="AB17" s="24">
        <v>65</v>
      </c>
      <c r="AC17" s="7">
        <v>1100</v>
      </c>
      <c r="AD17" s="7">
        <f t="shared" si="8"/>
        <v>0.48749999999999999</v>
      </c>
      <c r="AE17" s="24">
        <v>125750.99999999999</v>
      </c>
      <c r="AF17" s="66">
        <v>310</v>
      </c>
      <c r="AG17" s="45">
        <v>3.34</v>
      </c>
      <c r="AH17" s="45">
        <f t="shared" si="9"/>
        <v>0.45409616511472972</v>
      </c>
      <c r="AI17" s="45">
        <f t="shared" si="10"/>
        <v>0.88310845973686658</v>
      </c>
      <c r="AJ17" s="21">
        <f t="shared" si="0"/>
        <v>125.751</v>
      </c>
      <c r="AK17" s="21">
        <f t="shared" si="11"/>
        <v>1.125</v>
      </c>
      <c r="AL17" s="21">
        <f t="shared" si="1"/>
        <v>0.82687500000000003</v>
      </c>
      <c r="AM17" s="21">
        <f t="shared" si="12"/>
        <v>126.57787500000001</v>
      </c>
      <c r="AN17" s="41">
        <f t="shared" si="13"/>
        <v>3.3619621513944224</v>
      </c>
      <c r="AO17" s="41">
        <f t="shared" si="14"/>
        <v>0.45708207191888434</v>
      </c>
      <c r="AP17" s="41">
        <f t="shared" si="15"/>
        <v>0.88891533449448223</v>
      </c>
      <c r="AQ17" s="21">
        <f t="shared" si="16"/>
        <v>0.28019531250000007</v>
      </c>
      <c r="AR17" s="21">
        <f t="shared" si="17"/>
        <v>110.03212499999999</v>
      </c>
      <c r="AS17" s="21">
        <f t="shared" si="18"/>
        <v>110.31232031249999</v>
      </c>
      <c r="AT17" s="41">
        <f t="shared" si="19"/>
        <v>3.4721021820444977</v>
      </c>
    </row>
    <row r="18" spans="2:46" x14ac:dyDescent="0.25">
      <c r="B18" s="8" t="s">
        <v>69</v>
      </c>
      <c r="C18" s="7">
        <v>150</v>
      </c>
      <c r="D18" s="7">
        <v>300</v>
      </c>
      <c r="E18" s="7">
        <v>251</v>
      </c>
      <c r="F18" s="7">
        <v>1770</v>
      </c>
      <c r="G18" s="7">
        <v>1470</v>
      </c>
      <c r="H18" s="7">
        <v>100</v>
      </c>
      <c r="I18" s="7">
        <v>150</v>
      </c>
      <c r="J18" s="7">
        <v>100</v>
      </c>
      <c r="K18" s="7">
        <v>150</v>
      </c>
      <c r="L18" s="7">
        <v>875</v>
      </c>
      <c r="M18" s="7">
        <f t="shared" si="2"/>
        <v>775</v>
      </c>
      <c r="N18" s="7">
        <v>5</v>
      </c>
      <c r="O18" s="7">
        <v>16</v>
      </c>
      <c r="P18" s="24">
        <f t="shared" si="3"/>
        <v>1005.3096491487338</v>
      </c>
      <c r="Q18" s="32">
        <f t="shared" si="4"/>
        <v>2.6701451504614445E-2</v>
      </c>
      <c r="R18" s="24">
        <v>565</v>
      </c>
      <c r="S18" s="42">
        <f t="shared" si="5"/>
        <v>3.4860557768924303</v>
      </c>
      <c r="T18" s="42">
        <f t="shared" si="6"/>
        <v>3.0876494023904382</v>
      </c>
      <c r="U18" s="55">
        <v>12.5</v>
      </c>
      <c r="V18" s="7">
        <v>53.2</v>
      </c>
      <c r="W18" s="7" t="s">
        <v>456</v>
      </c>
      <c r="X18" s="7">
        <f t="shared" si="7"/>
        <v>1</v>
      </c>
      <c r="Y18" s="7">
        <v>35</v>
      </c>
      <c r="Z18" s="7">
        <v>1</v>
      </c>
      <c r="AA18" s="7">
        <v>0.55000000000000004</v>
      </c>
      <c r="AB18" s="24">
        <v>65</v>
      </c>
      <c r="AC18" s="7">
        <v>1100</v>
      </c>
      <c r="AD18" s="7">
        <f t="shared" si="8"/>
        <v>0.65</v>
      </c>
      <c r="AE18" s="24">
        <v>144199.5</v>
      </c>
      <c r="AF18" s="66">
        <v>356</v>
      </c>
      <c r="AG18" s="45">
        <v>3.83</v>
      </c>
      <c r="AH18" s="45">
        <f t="shared" si="9"/>
        <v>0.52510113598003083</v>
      </c>
      <c r="AI18" s="45">
        <f t="shared" si="10"/>
        <v>1.018344908917586</v>
      </c>
      <c r="AJ18" s="21">
        <f t="shared" si="0"/>
        <v>144.1995</v>
      </c>
      <c r="AK18" s="21">
        <f t="shared" si="11"/>
        <v>1.125</v>
      </c>
      <c r="AL18" s="21">
        <f t="shared" si="1"/>
        <v>0.82687500000000003</v>
      </c>
      <c r="AM18" s="21">
        <f t="shared" si="12"/>
        <v>145.026375</v>
      </c>
      <c r="AN18" s="41">
        <f t="shared" si="13"/>
        <v>3.8519621513944222</v>
      </c>
      <c r="AO18" s="41">
        <f t="shared" si="14"/>
        <v>0.52811219358989414</v>
      </c>
      <c r="AP18" s="41">
        <f t="shared" si="15"/>
        <v>1.0241843462704285</v>
      </c>
      <c r="AQ18" s="21">
        <f t="shared" si="16"/>
        <v>0.28019531250000007</v>
      </c>
      <c r="AR18" s="21">
        <f t="shared" si="17"/>
        <v>126.17456249999999</v>
      </c>
      <c r="AS18" s="21">
        <f t="shared" si="18"/>
        <v>126.45475781249999</v>
      </c>
      <c r="AT18" s="41">
        <f t="shared" si="19"/>
        <v>3.4738771894840212</v>
      </c>
    </row>
    <row r="19" spans="2:46" x14ac:dyDescent="0.25">
      <c r="B19" s="8" t="s">
        <v>70</v>
      </c>
      <c r="C19" s="7">
        <v>150</v>
      </c>
      <c r="D19" s="7">
        <v>300</v>
      </c>
      <c r="E19" s="7">
        <v>251</v>
      </c>
      <c r="F19" s="7">
        <v>1770</v>
      </c>
      <c r="G19" s="7">
        <v>1470</v>
      </c>
      <c r="H19" s="7">
        <v>100</v>
      </c>
      <c r="I19" s="7">
        <v>150</v>
      </c>
      <c r="J19" s="7">
        <v>100</v>
      </c>
      <c r="K19" s="7">
        <v>150</v>
      </c>
      <c r="L19" s="7">
        <v>875</v>
      </c>
      <c r="M19" s="7">
        <f t="shared" si="2"/>
        <v>775</v>
      </c>
      <c r="N19" s="7">
        <v>5</v>
      </c>
      <c r="O19" s="7">
        <v>16</v>
      </c>
      <c r="P19" s="24">
        <f t="shared" si="3"/>
        <v>1005.3096491487338</v>
      </c>
      <c r="Q19" s="32">
        <f t="shared" si="4"/>
        <v>2.6701451504614445E-2</v>
      </c>
      <c r="R19" s="24">
        <v>565</v>
      </c>
      <c r="S19" s="42">
        <f t="shared" si="5"/>
        <v>3.4860557768924303</v>
      </c>
      <c r="T19" s="42">
        <f t="shared" si="6"/>
        <v>3.0876494023904382</v>
      </c>
      <c r="U19" s="55">
        <v>12.5</v>
      </c>
      <c r="V19" s="7">
        <v>55.3</v>
      </c>
      <c r="W19" s="7" t="s">
        <v>456</v>
      </c>
      <c r="X19" s="7">
        <f t="shared" si="7"/>
        <v>1</v>
      </c>
      <c r="Y19" s="7">
        <v>35</v>
      </c>
      <c r="Z19" s="7">
        <v>1</v>
      </c>
      <c r="AA19" s="7">
        <v>0.55000000000000004</v>
      </c>
      <c r="AB19" s="24">
        <v>65</v>
      </c>
      <c r="AC19" s="7">
        <v>1100</v>
      </c>
      <c r="AD19" s="7">
        <f t="shared" si="8"/>
        <v>0.65</v>
      </c>
      <c r="AE19" s="24">
        <v>165660</v>
      </c>
      <c r="AF19" s="66">
        <v>409</v>
      </c>
      <c r="AG19" s="45">
        <v>4.4000000000000004</v>
      </c>
      <c r="AH19" s="45">
        <f t="shared" si="9"/>
        <v>0.59168438876921603</v>
      </c>
      <c r="AI19" s="45">
        <f t="shared" si="10"/>
        <v>1.1548997820425357</v>
      </c>
      <c r="AJ19" s="21">
        <f t="shared" si="0"/>
        <v>165.66</v>
      </c>
      <c r="AK19" s="21">
        <f t="shared" si="11"/>
        <v>1.125</v>
      </c>
      <c r="AL19" s="21">
        <f t="shared" si="1"/>
        <v>0.82687500000000003</v>
      </c>
      <c r="AM19" s="21">
        <f t="shared" si="12"/>
        <v>166.486875</v>
      </c>
      <c r="AN19" s="41">
        <f t="shared" si="13"/>
        <v>4.4219621513944221</v>
      </c>
      <c r="AO19" s="41">
        <f t="shared" si="14"/>
        <v>0.59463772107009449</v>
      </c>
      <c r="AP19" s="41">
        <f t="shared" si="15"/>
        <v>1.1606643465558546</v>
      </c>
      <c r="AQ19" s="21">
        <f t="shared" si="16"/>
        <v>0.28019531250000007</v>
      </c>
      <c r="AR19" s="21">
        <f t="shared" si="17"/>
        <v>144.95249999999999</v>
      </c>
      <c r="AS19" s="21">
        <f t="shared" si="18"/>
        <v>145.2326953125</v>
      </c>
      <c r="AT19" s="41">
        <f t="shared" si="19"/>
        <v>3.4754470344046986</v>
      </c>
    </row>
    <row r="20" spans="2:46" x14ac:dyDescent="0.25">
      <c r="B20" s="8" t="s">
        <v>71</v>
      </c>
      <c r="C20" s="7">
        <v>150</v>
      </c>
      <c r="D20" s="7">
        <v>300</v>
      </c>
      <c r="E20" s="7">
        <v>251</v>
      </c>
      <c r="F20" s="7">
        <v>1770</v>
      </c>
      <c r="G20" s="7">
        <v>1470</v>
      </c>
      <c r="H20" s="7">
        <v>100</v>
      </c>
      <c r="I20" s="7">
        <v>150</v>
      </c>
      <c r="J20" s="7">
        <v>100</v>
      </c>
      <c r="K20" s="7">
        <v>150</v>
      </c>
      <c r="L20" s="7">
        <v>875</v>
      </c>
      <c r="M20" s="7">
        <f t="shared" si="2"/>
        <v>775</v>
      </c>
      <c r="N20" s="7">
        <v>5</v>
      </c>
      <c r="O20" s="7">
        <v>16</v>
      </c>
      <c r="P20" s="24">
        <f t="shared" si="3"/>
        <v>1005.3096491487338</v>
      </c>
      <c r="Q20" s="32">
        <f t="shared" si="4"/>
        <v>2.6701451504614445E-2</v>
      </c>
      <c r="R20" s="24">
        <v>565</v>
      </c>
      <c r="S20" s="42">
        <f t="shared" si="5"/>
        <v>3.4860557768924303</v>
      </c>
      <c r="T20" s="42">
        <f t="shared" si="6"/>
        <v>3.0876494023904382</v>
      </c>
      <c r="U20" s="55">
        <v>12.5</v>
      </c>
      <c r="V20" s="7">
        <v>64.599999999999994</v>
      </c>
      <c r="W20" s="7" t="s">
        <v>456</v>
      </c>
      <c r="X20" s="7">
        <f t="shared" si="7"/>
        <v>1</v>
      </c>
      <c r="Y20" s="7">
        <v>35</v>
      </c>
      <c r="Z20" s="7">
        <v>1.5</v>
      </c>
      <c r="AA20" s="7">
        <v>0.55000000000000004</v>
      </c>
      <c r="AB20" s="24">
        <v>65</v>
      </c>
      <c r="AC20" s="7">
        <v>1100</v>
      </c>
      <c r="AD20" s="7">
        <f t="shared" si="8"/>
        <v>0.97499999999999998</v>
      </c>
      <c r="AE20" s="24">
        <v>195403.5</v>
      </c>
      <c r="AF20" s="66">
        <v>483</v>
      </c>
      <c r="AG20" s="45">
        <v>5.19</v>
      </c>
      <c r="AH20" s="45">
        <f t="shared" si="9"/>
        <v>0.64573020082698784</v>
      </c>
      <c r="AI20" s="45">
        <f t="shared" si="10"/>
        <v>1.2934704709449318</v>
      </c>
      <c r="AJ20" s="21">
        <f t="shared" si="0"/>
        <v>195.40350000000004</v>
      </c>
      <c r="AK20" s="21">
        <f t="shared" si="11"/>
        <v>1.125</v>
      </c>
      <c r="AL20" s="21">
        <f t="shared" si="1"/>
        <v>0.82687500000000003</v>
      </c>
      <c r="AM20" s="21">
        <f t="shared" si="12"/>
        <v>196.23037500000004</v>
      </c>
      <c r="AN20" s="41">
        <f t="shared" si="13"/>
        <v>5.211962151394423</v>
      </c>
      <c r="AO20" s="41">
        <f t="shared" si="14"/>
        <v>0.64846269108334886</v>
      </c>
      <c r="AP20" s="41">
        <f t="shared" si="15"/>
        <v>1.2989439573239505</v>
      </c>
      <c r="AQ20" s="21">
        <f t="shared" si="16"/>
        <v>0.28019531250000007</v>
      </c>
      <c r="AR20" s="21">
        <f t="shared" si="17"/>
        <v>170.97806250000002</v>
      </c>
      <c r="AS20" s="21">
        <f t="shared" si="18"/>
        <v>171.25825781250003</v>
      </c>
      <c r="AT20" s="41">
        <f t="shared" si="19"/>
        <v>3.4770550481089169</v>
      </c>
    </row>
    <row r="21" spans="2:46" x14ac:dyDescent="0.25">
      <c r="B21" s="8" t="s">
        <v>72</v>
      </c>
      <c r="C21" s="7">
        <v>150</v>
      </c>
      <c r="D21" s="7">
        <v>300</v>
      </c>
      <c r="E21" s="7">
        <v>251</v>
      </c>
      <c r="F21" s="7">
        <v>1770</v>
      </c>
      <c r="G21" s="7">
        <v>1470</v>
      </c>
      <c r="H21" s="7">
        <v>100</v>
      </c>
      <c r="I21" s="7">
        <v>150</v>
      </c>
      <c r="J21" s="7">
        <v>100</v>
      </c>
      <c r="K21" s="7">
        <v>150</v>
      </c>
      <c r="L21" s="7">
        <v>875</v>
      </c>
      <c r="M21" s="7">
        <f t="shared" si="2"/>
        <v>775</v>
      </c>
      <c r="N21" s="7">
        <v>5</v>
      </c>
      <c r="O21" s="7">
        <v>16</v>
      </c>
      <c r="P21" s="24">
        <f t="shared" si="3"/>
        <v>1005.3096491487338</v>
      </c>
      <c r="Q21" s="32">
        <f t="shared" si="4"/>
        <v>2.6701451504614445E-2</v>
      </c>
      <c r="R21" s="24">
        <v>565</v>
      </c>
      <c r="S21" s="42">
        <f t="shared" si="5"/>
        <v>3.4860557768924303</v>
      </c>
      <c r="T21" s="42">
        <f t="shared" si="6"/>
        <v>3.0876494023904382</v>
      </c>
      <c r="U21" s="55">
        <v>12.5</v>
      </c>
      <c r="V21" s="7">
        <v>59.9</v>
      </c>
      <c r="W21" s="7" t="s">
        <v>456</v>
      </c>
      <c r="X21" s="7">
        <f t="shared" si="7"/>
        <v>1</v>
      </c>
      <c r="Y21" s="7">
        <v>35</v>
      </c>
      <c r="Z21" s="7">
        <v>1.5</v>
      </c>
      <c r="AA21" s="7">
        <v>0.55000000000000004</v>
      </c>
      <c r="AB21" s="24">
        <v>65</v>
      </c>
      <c r="AC21" s="7">
        <v>1100</v>
      </c>
      <c r="AD21" s="7">
        <f t="shared" si="8"/>
        <v>0.97499999999999998</v>
      </c>
      <c r="AE21" s="24">
        <v>160012.5</v>
      </c>
      <c r="AF21" s="66">
        <v>395</v>
      </c>
      <c r="AG21" s="45">
        <v>4.25</v>
      </c>
      <c r="AH21" s="45">
        <f t="shared" si="9"/>
        <v>0.54913044024226865</v>
      </c>
      <c r="AI21" s="45">
        <f t="shared" si="10"/>
        <v>1.0862088141257771</v>
      </c>
      <c r="AJ21" s="21">
        <f t="shared" si="0"/>
        <v>160.01249999999999</v>
      </c>
      <c r="AK21" s="21">
        <f t="shared" si="11"/>
        <v>1.125</v>
      </c>
      <c r="AL21" s="21">
        <f t="shared" si="1"/>
        <v>0.82687500000000003</v>
      </c>
      <c r="AM21" s="21">
        <f t="shared" si="12"/>
        <v>160.83937499999999</v>
      </c>
      <c r="AN21" s="41">
        <f t="shared" si="13"/>
        <v>4.2719621513944226</v>
      </c>
      <c r="AO21" s="41">
        <f t="shared" si="14"/>
        <v>0.55196810750435965</v>
      </c>
      <c r="AP21" s="41">
        <f t="shared" si="15"/>
        <v>1.0918218688132564</v>
      </c>
      <c r="AQ21" s="21">
        <f t="shared" si="16"/>
        <v>0.28019531250000007</v>
      </c>
      <c r="AR21" s="21">
        <f t="shared" si="17"/>
        <v>140.01093750000001</v>
      </c>
      <c r="AS21" s="21">
        <f t="shared" si="18"/>
        <v>140.29113281250002</v>
      </c>
      <c r="AT21" s="41">
        <f t="shared" si="19"/>
        <v>3.475074533123844</v>
      </c>
    </row>
    <row r="22" spans="2:46" x14ac:dyDescent="0.25">
      <c r="B22" s="8" t="s">
        <v>73</v>
      </c>
      <c r="C22" s="7">
        <v>150</v>
      </c>
      <c r="D22" s="7">
        <v>300</v>
      </c>
      <c r="E22" s="7">
        <v>251</v>
      </c>
      <c r="F22" s="7">
        <v>1770</v>
      </c>
      <c r="G22" s="7">
        <v>1470</v>
      </c>
      <c r="H22" s="7">
        <v>100</v>
      </c>
      <c r="I22" s="7">
        <v>150</v>
      </c>
      <c r="J22" s="7">
        <v>100</v>
      </c>
      <c r="K22" s="7">
        <v>150</v>
      </c>
      <c r="L22" s="7">
        <v>875</v>
      </c>
      <c r="M22" s="7">
        <f t="shared" si="2"/>
        <v>775</v>
      </c>
      <c r="N22" s="7">
        <v>5</v>
      </c>
      <c r="O22" s="7">
        <v>16</v>
      </c>
      <c r="P22" s="24">
        <f t="shared" si="3"/>
        <v>1005.3096491487338</v>
      </c>
      <c r="Q22" s="32">
        <f t="shared" si="4"/>
        <v>2.6701451504614445E-2</v>
      </c>
      <c r="R22" s="24">
        <v>565</v>
      </c>
      <c r="S22" s="42">
        <f t="shared" si="5"/>
        <v>3.4860557768924303</v>
      </c>
      <c r="T22" s="42">
        <f t="shared" si="6"/>
        <v>3.0876494023904382</v>
      </c>
      <c r="U22" s="55">
        <v>12.5</v>
      </c>
      <c r="V22" s="7">
        <v>47.8</v>
      </c>
      <c r="W22" s="7" t="s">
        <v>456</v>
      </c>
      <c r="X22" s="7">
        <f t="shared" si="7"/>
        <v>1</v>
      </c>
      <c r="Y22" s="7">
        <v>60</v>
      </c>
      <c r="Z22" s="7">
        <v>0.5</v>
      </c>
      <c r="AA22" s="7">
        <v>0.75</v>
      </c>
      <c r="AB22" s="24">
        <v>80</v>
      </c>
      <c r="AC22" s="7">
        <v>1050</v>
      </c>
      <c r="AD22" s="7">
        <f t="shared" si="8"/>
        <v>0.4</v>
      </c>
      <c r="AE22" s="24">
        <v>127633.5</v>
      </c>
      <c r="AF22" s="66">
        <v>316</v>
      </c>
      <c r="AG22" s="45">
        <v>3.39</v>
      </c>
      <c r="AH22" s="45">
        <f t="shared" si="9"/>
        <v>0.49032693388396503</v>
      </c>
      <c r="AI22" s="45">
        <f t="shared" si="10"/>
        <v>0.93409360610416647</v>
      </c>
      <c r="AJ22" s="21">
        <f t="shared" si="0"/>
        <v>127.6335</v>
      </c>
      <c r="AK22" s="21">
        <f t="shared" si="11"/>
        <v>1.125</v>
      </c>
      <c r="AL22" s="21">
        <f t="shared" si="1"/>
        <v>0.82687500000000003</v>
      </c>
      <c r="AM22" s="21">
        <f t="shared" si="12"/>
        <v>128.460375</v>
      </c>
      <c r="AN22" s="41">
        <f t="shared" si="13"/>
        <v>3.4119621513944223</v>
      </c>
      <c r="AO22" s="41">
        <f t="shared" si="14"/>
        <v>0.49350352218919291</v>
      </c>
      <c r="AP22" s="41">
        <f t="shared" si="15"/>
        <v>0.94014514155957107</v>
      </c>
      <c r="AQ22" s="21">
        <f t="shared" si="16"/>
        <v>0.28019531250000007</v>
      </c>
      <c r="AR22" s="21">
        <f t="shared" si="17"/>
        <v>111.67931249999999</v>
      </c>
      <c r="AS22" s="21">
        <f t="shared" si="18"/>
        <v>111.95950781249999</v>
      </c>
      <c r="AT22" s="41">
        <f t="shared" si="19"/>
        <v>3.4723066625490997</v>
      </c>
    </row>
    <row r="23" spans="2:46" x14ac:dyDescent="0.25">
      <c r="B23" s="8" t="s">
        <v>74</v>
      </c>
      <c r="C23" s="7">
        <v>150</v>
      </c>
      <c r="D23" s="7">
        <v>300</v>
      </c>
      <c r="E23" s="7">
        <v>251</v>
      </c>
      <c r="F23" s="7">
        <v>1770</v>
      </c>
      <c r="G23" s="7">
        <v>1470</v>
      </c>
      <c r="H23" s="7">
        <v>100</v>
      </c>
      <c r="I23" s="7">
        <v>150</v>
      </c>
      <c r="J23" s="7">
        <v>100</v>
      </c>
      <c r="K23" s="7">
        <v>150</v>
      </c>
      <c r="L23" s="7">
        <v>875</v>
      </c>
      <c r="M23" s="7">
        <f t="shared" si="2"/>
        <v>775</v>
      </c>
      <c r="N23" s="7">
        <v>5</v>
      </c>
      <c r="O23" s="7">
        <v>16</v>
      </c>
      <c r="P23" s="24">
        <f t="shared" si="3"/>
        <v>1005.3096491487338</v>
      </c>
      <c r="Q23" s="32">
        <f t="shared" si="4"/>
        <v>2.6701451504614445E-2</v>
      </c>
      <c r="R23" s="24">
        <v>565</v>
      </c>
      <c r="S23" s="42">
        <f t="shared" si="5"/>
        <v>3.4860557768924303</v>
      </c>
      <c r="T23" s="42">
        <f t="shared" si="6"/>
        <v>3.0876494023904382</v>
      </c>
      <c r="U23" s="55">
        <v>12.5</v>
      </c>
      <c r="V23" s="7">
        <v>49.5</v>
      </c>
      <c r="W23" s="7" t="s">
        <v>456</v>
      </c>
      <c r="X23" s="7">
        <f t="shared" si="7"/>
        <v>1</v>
      </c>
      <c r="Y23" s="7">
        <v>60</v>
      </c>
      <c r="Z23" s="7">
        <v>0.5</v>
      </c>
      <c r="AA23" s="7">
        <v>0.75</v>
      </c>
      <c r="AB23" s="24">
        <v>80</v>
      </c>
      <c r="AC23" s="7">
        <v>1050</v>
      </c>
      <c r="AD23" s="7">
        <f t="shared" si="8"/>
        <v>0.4</v>
      </c>
      <c r="AE23" s="24">
        <v>152106</v>
      </c>
      <c r="AF23" s="66">
        <v>376</v>
      </c>
      <c r="AG23" s="45">
        <v>4.04</v>
      </c>
      <c r="AH23" s="45">
        <f t="shared" si="9"/>
        <v>0.57422059605111075</v>
      </c>
      <c r="AI23" s="45">
        <f t="shared" si="10"/>
        <v>1.1003046933995684</v>
      </c>
      <c r="AJ23" s="21">
        <f t="shared" si="0"/>
        <v>152.10599999999999</v>
      </c>
      <c r="AK23" s="21">
        <f t="shared" si="11"/>
        <v>1.125</v>
      </c>
      <c r="AL23" s="21">
        <f t="shared" si="1"/>
        <v>0.82687500000000003</v>
      </c>
      <c r="AM23" s="21">
        <f t="shared" si="12"/>
        <v>152.932875</v>
      </c>
      <c r="AN23" s="41">
        <f t="shared" si="13"/>
        <v>4.0619621513944226</v>
      </c>
      <c r="AO23" s="41">
        <f t="shared" si="14"/>
        <v>0.57734216032444496</v>
      </c>
      <c r="AP23" s="41">
        <f t="shared" si="15"/>
        <v>1.1062861434630424</v>
      </c>
      <c r="AQ23" s="21">
        <f t="shared" si="16"/>
        <v>0.28019531250000007</v>
      </c>
      <c r="AR23" s="21">
        <f t="shared" si="17"/>
        <v>133.09275</v>
      </c>
      <c r="AS23" s="21">
        <f t="shared" si="18"/>
        <v>133.37294531250001</v>
      </c>
      <c r="AT23" s="41">
        <f t="shared" si="19"/>
        <v>3.4745068121295426</v>
      </c>
    </row>
    <row r="24" spans="2:46" x14ac:dyDescent="0.25">
      <c r="B24" s="8" t="s">
        <v>75</v>
      </c>
      <c r="C24" s="7">
        <v>150</v>
      </c>
      <c r="D24" s="7">
        <v>300</v>
      </c>
      <c r="E24" s="7">
        <v>251</v>
      </c>
      <c r="F24" s="7">
        <v>1770</v>
      </c>
      <c r="G24" s="7">
        <v>1470</v>
      </c>
      <c r="H24" s="7">
        <v>100</v>
      </c>
      <c r="I24" s="7">
        <v>150</v>
      </c>
      <c r="J24" s="7">
        <v>100</v>
      </c>
      <c r="K24" s="7">
        <v>150</v>
      </c>
      <c r="L24" s="7">
        <v>875</v>
      </c>
      <c r="M24" s="7">
        <f t="shared" si="2"/>
        <v>775</v>
      </c>
      <c r="N24" s="7">
        <v>5</v>
      </c>
      <c r="O24" s="7">
        <v>16</v>
      </c>
      <c r="P24" s="24">
        <f t="shared" si="3"/>
        <v>1005.3096491487338</v>
      </c>
      <c r="Q24" s="32">
        <f t="shared" si="4"/>
        <v>2.6701451504614445E-2</v>
      </c>
      <c r="R24" s="24">
        <v>565</v>
      </c>
      <c r="S24" s="42">
        <f t="shared" si="5"/>
        <v>3.4860557768924303</v>
      </c>
      <c r="T24" s="42">
        <f t="shared" si="6"/>
        <v>3.0876494023904382</v>
      </c>
      <c r="U24" s="55">
        <v>12.5</v>
      </c>
      <c r="V24" s="7">
        <v>55.3</v>
      </c>
      <c r="W24" s="7" t="s">
        <v>456</v>
      </c>
      <c r="X24" s="7">
        <f t="shared" si="7"/>
        <v>1</v>
      </c>
      <c r="Y24" s="7">
        <v>60</v>
      </c>
      <c r="Z24" s="7">
        <v>0.75</v>
      </c>
      <c r="AA24" s="7">
        <v>0.75</v>
      </c>
      <c r="AB24" s="24">
        <v>80</v>
      </c>
      <c r="AC24" s="7">
        <v>1050</v>
      </c>
      <c r="AD24" s="7">
        <f t="shared" si="8"/>
        <v>0.6</v>
      </c>
      <c r="AE24" s="24">
        <v>146458.5</v>
      </c>
      <c r="AF24" s="66">
        <v>362</v>
      </c>
      <c r="AG24" s="45">
        <v>3.89</v>
      </c>
      <c r="AH24" s="45">
        <f t="shared" si="9"/>
        <v>0.52310278916187503</v>
      </c>
      <c r="AI24" s="45">
        <f t="shared" si="10"/>
        <v>1.0210363982148782</v>
      </c>
      <c r="AJ24" s="21">
        <f t="shared" si="0"/>
        <v>146.45849999999999</v>
      </c>
      <c r="AK24" s="21">
        <f t="shared" si="11"/>
        <v>1.125</v>
      </c>
      <c r="AL24" s="21">
        <f t="shared" si="1"/>
        <v>0.82687500000000003</v>
      </c>
      <c r="AM24" s="21">
        <f t="shared" si="12"/>
        <v>147.28537499999999</v>
      </c>
      <c r="AN24" s="41">
        <f t="shared" si="13"/>
        <v>3.9119621513944223</v>
      </c>
      <c r="AO24" s="41">
        <f t="shared" si="14"/>
        <v>0.5260561214627536</v>
      </c>
      <c r="AP24" s="41">
        <f t="shared" si="15"/>
        <v>1.0268009627281971</v>
      </c>
      <c r="AQ24" s="21">
        <f t="shared" si="16"/>
        <v>0.28019531250000007</v>
      </c>
      <c r="AR24" s="21">
        <f t="shared" si="17"/>
        <v>128.15118749999999</v>
      </c>
      <c r="AS24" s="21">
        <f t="shared" si="18"/>
        <v>128.4313828125</v>
      </c>
      <c r="AT24" s="41">
        <f t="shared" si="19"/>
        <v>3.4740639794416506</v>
      </c>
    </row>
    <row r="25" spans="2:46" x14ac:dyDescent="0.25">
      <c r="B25" s="8" t="s">
        <v>76</v>
      </c>
      <c r="C25" s="7">
        <v>150</v>
      </c>
      <c r="D25" s="7">
        <v>300</v>
      </c>
      <c r="E25" s="7">
        <v>251</v>
      </c>
      <c r="F25" s="7">
        <v>1770</v>
      </c>
      <c r="G25" s="7">
        <v>1470</v>
      </c>
      <c r="H25" s="7">
        <v>100</v>
      </c>
      <c r="I25" s="7">
        <v>150</v>
      </c>
      <c r="J25" s="7">
        <v>100</v>
      </c>
      <c r="K25" s="7">
        <v>150</v>
      </c>
      <c r="L25" s="7">
        <v>875</v>
      </c>
      <c r="M25" s="7">
        <f t="shared" si="2"/>
        <v>775</v>
      </c>
      <c r="N25" s="7">
        <v>5</v>
      </c>
      <c r="O25" s="7">
        <v>16</v>
      </c>
      <c r="P25" s="24">
        <f t="shared" si="3"/>
        <v>1005.3096491487338</v>
      </c>
      <c r="Q25" s="32">
        <f t="shared" si="4"/>
        <v>2.6701451504614445E-2</v>
      </c>
      <c r="R25" s="24">
        <v>565</v>
      </c>
      <c r="S25" s="42">
        <f t="shared" si="5"/>
        <v>3.4860557768924303</v>
      </c>
      <c r="T25" s="42">
        <f t="shared" si="6"/>
        <v>3.0876494023904382</v>
      </c>
      <c r="U25" s="55">
        <v>12.5</v>
      </c>
      <c r="V25" s="7">
        <v>56.4</v>
      </c>
      <c r="W25" s="7" t="s">
        <v>456</v>
      </c>
      <c r="X25" s="7">
        <f t="shared" si="7"/>
        <v>1</v>
      </c>
      <c r="Y25" s="7">
        <v>60</v>
      </c>
      <c r="Z25" s="7">
        <v>0.75</v>
      </c>
      <c r="AA25" s="7">
        <v>0.75</v>
      </c>
      <c r="AB25" s="24">
        <v>80</v>
      </c>
      <c r="AC25" s="7">
        <v>1050</v>
      </c>
      <c r="AD25" s="7">
        <f t="shared" si="8"/>
        <v>0.6</v>
      </c>
      <c r="AE25" s="24">
        <v>178084.5</v>
      </c>
      <c r="AF25" s="66">
        <v>440</v>
      </c>
      <c r="AG25" s="45">
        <v>4.7300000000000004</v>
      </c>
      <c r="AH25" s="45">
        <f t="shared" si="9"/>
        <v>0.62982745582697119</v>
      </c>
      <c r="AI25" s="45">
        <f t="shared" si="10"/>
        <v>1.2333928867074138</v>
      </c>
      <c r="AJ25" s="21">
        <f t="shared" si="0"/>
        <v>178.08450000000002</v>
      </c>
      <c r="AK25" s="21">
        <f t="shared" si="11"/>
        <v>1.125</v>
      </c>
      <c r="AL25" s="21">
        <f t="shared" si="1"/>
        <v>0.82687500000000003</v>
      </c>
      <c r="AM25" s="21">
        <f t="shared" si="12"/>
        <v>178.91137500000002</v>
      </c>
      <c r="AN25" s="41">
        <f t="shared" si="13"/>
        <v>4.751962151394423</v>
      </c>
      <c r="AO25" s="41">
        <f t="shared" si="14"/>
        <v>0.63275184608854318</v>
      </c>
      <c r="AP25" s="41">
        <f t="shared" si="15"/>
        <v>1.239119728421298</v>
      </c>
      <c r="AQ25" s="21">
        <f t="shared" si="16"/>
        <v>0.28019531250000007</v>
      </c>
      <c r="AR25" s="21">
        <f t="shared" si="17"/>
        <v>155.82393750000003</v>
      </c>
      <c r="AS25" s="21">
        <f t="shared" si="18"/>
        <v>156.10413281250004</v>
      </c>
      <c r="AT25" s="41">
        <f t="shared" si="19"/>
        <v>3.4761837585008548</v>
      </c>
    </row>
    <row r="26" spans="2:46" x14ac:dyDescent="0.25">
      <c r="B26" s="8" t="s">
        <v>77</v>
      </c>
      <c r="C26" s="7">
        <v>150</v>
      </c>
      <c r="D26" s="7">
        <v>300</v>
      </c>
      <c r="E26" s="7">
        <v>251</v>
      </c>
      <c r="F26" s="7">
        <v>1770</v>
      </c>
      <c r="G26" s="7">
        <v>1470</v>
      </c>
      <c r="H26" s="7">
        <v>100</v>
      </c>
      <c r="I26" s="7">
        <v>150</v>
      </c>
      <c r="J26" s="7">
        <v>100</v>
      </c>
      <c r="K26" s="7">
        <v>150</v>
      </c>
      <c r="L26" s="7">
        <v>875</v>
      </c>
      <c r="M26" s="7">
        <f t="shared" si="2"/>
        <v>775</v>
      </c>
      <c r="N26" s="7">
        <v>5</v>
      </c>
      <c r="O26" s="7">
        <v>16</v>
      </c>
      <c r="P26" s="24">
        <f t="shared" si="3"/>
        <v>1005.3096491487338</v>
      </c>
      <c r="Q26" s="32">
        <f t="shared" si="4"/>
        <v>2.6701451504614445E-2</v>
      </c>
      <c r="R26" s="24">
        <v>565</v>
      </c>
      <c r="S26" s="42">
        <f t="shared" si="5"/>
        <v>3.4860557768924303</v>
      </c>
      <c r="T26" s="42">
        <f t="shared" si="6"/>
        <v>3.0876494023904382</v>
      </c>
      <c r="U26" s="55">
        <v>12.5</v>
      </c>
      <c r="V26" s="7">
        <v>53.4</v>
      </c>
      <c r="W26" s="7" t="s">
        <v>456</v>
      </c>
      <c r="X26" s="7">
        <f t="shared" si="7"/>
        <v>1</v>
      </c>
      <c r="Y26" s="7">
        <v>60</v>
      </c>
      <c r="Z26" s="7">
        <v>1</v>
      </c>
      <c r="AA26" s="7">
        <v>0.75</v>
      </c>
      <c r="AB26" s="24">
        <v>80</v>
      </c>
      <c r="AC26" s="7">
        <v>1050</v>
      </c>
      <c r="AD26" s="7">
        <f t="shared" si="8"/>
        <v>0.8</v>
      </c>
      <c r="AE26" s="24">
        <v>128010</v>
      </c>
      <c r="AF26" s="66">
        <v>316</v>
      </c>
      <c r="AG26" s="45">
        <v>3.4</v>
      </c>
      <c r="AH26" s="45">
        <f t="shared" si="9"/>
        <v>0.46527346877837733</v>
      </c>
      <c r="AI26" s="45">
        <f t="shared" si="10"/>
        <v>0.90288373888923401</v>
      </c>
      <c r="AJ26" s="21">
        <f t="shared" si="0"/>
        <v>128.01</v>
      </c>
      <c r="AK26" s="21">
        <f t="shared" si="11"/>
        <v>1.125</v>
      </c>
      <c r="AL26" s="21">
        <f t="shared" si="1"/>
        <v>0.82687500000000003</v>
      </c>
      <c r="AM26" s="21">
        <f t="shared" si="12"/>
        <v>128.83687499999999</v>
      </c>
      <c r="AN26" s="41">
        <f t="shared" si="13"/>
        <v>3.4219621513944221</v>
      </c>
      <c r="AO26" s="41">
        <f t="shared" si="14"/>
        <v>0.46827888241400045</v>
      </c>
      <c r="AP26" s="41">
        <f t="shared" si="15"/>
        <v>0.90871587693777733</v>
      </c>
      <c r="AQ26" s="21">
        <f t="shared" si="16"/>
        <v>0.28019531250000007</v>
      </c>
      <c r="AR26" s="21">
        <f t="shared" si="17"/>
        <v>112.00874999999999</v>
      </c>
      <c r="AS26" s="21">
        <f t="shared" si="18"/>
        <v>112.28894531249999</v>
      </c>
      <c r="AT26" s="41">
        <f t="shared" si="19"/>
        <v>3.4723468415859653</v>
      </c>
    </row>
    <row r="27" spans="2:46" x14ac:dyDescent="0.25">
      <c r="B27" s="8" t="s">
        <v>78</v>
      </c>
      <c r="C27" s="7">
        <v>150</v>
      </c>
      <c r="D27" s="7">
        <v>300</v>
      </c>
      <c r="E27" s="7">
        <v>251</v>
      </c>
      <c r="F27" s="7">
        <v>1770</v>
      </c>
      <c r="G27" s="7">
        <v>1470</v>
      </c>
      <c r="H27" s="7">
        <v>100</v>
      </c>
      <c r="I27" s="7">
        <v>150</v>
      </c>
      <c r="J27" s="7">
        <v>100</v>
      </c>
      <c r="K27" s="7">
        <v>150</v>
      </c>
      <c r="L27" s="7">
        <v>875</v>
      </c>
      <c r="M27" s="7">
        <f t="shared" si="2"/>
        <v>775</v>
      </c>
      <c r="N27" s="7">
        <v>5</v>
      </c>
      <c r="O27" s="7">
        <v>16</v>
      </c>
      <c r="P27" s="24">
        <f t="shared" si="3"/>
        <v>1005.3096491487338</v>
      </c>
      <c r="Q27" s="32">
        <f t="shared" si="4"/>
        <v>2.6701451504614445E-2</v>
      </c>
      <c r="R27" s="24">
        <v>565</v>
      </c>
      <c r="S27" s="42">
        <f t="shared" si="5"/>
        <v>3.4860557768924303</v>
      </c>
      <c r="T27" s="42">
        <f t="shared" si="6"/>
        <v>3.0876494023904382</v>
      </c>
      <c r="U27" s="55">
        <v>12.5</v>
      </c>
      <c r="V27" s="7">
        <v>51</v>
      </c>
      <c r="W27" s="7" t="s">
        <v>456</v>
      </c>
      <c r="X27" s="7">
        <f t="shared" si="7"/>
        <v>1</v>
      </c>
      <c r="Y27" s="7">
        <v>60</v>
      </c>
      <c r="Z27" s="7">
        <v>1</v>
      </c>
      <c r="AA27" s="7">
        <v>0.75</v>
      </c>
      <c r="AB27" s="24">
        <v>80</v>
      </c>
      <c r="AC27" s="7">
        <v>1050</v>
      </c>
      <c r="AD27" s="7">
        <f t="shared" si="8"/>
        <v>0.8</v>
      </c>
      <c r="AE27" s="24">
        <v>157000.5</v>
      </c>
      <c r="AF27" s="66">
        <v>388</v>
      </c>
      <c r="AG27" s="45">
        <v>4.17</v>
      </c>
      <c r="AH27" s="45">
        <f t="shared" si="9"/>
        <v>0.58391679503968008</v>
      </c>
      <c r="AI27" s="45">
        <f t="shared" si="10"/>
        <v>1.1244651400868093</v>
      </c>
      <c r="AJ27" s="21">
        <f t="shared" si="0"/>
        <v>157.00049999999999</v>
      </c>
      <c r="AK27" s="21">
        <f t="shared" si="11"/>
        <v>1.125</v>
      </c>
      <c r="AL27" s="21">
        <f t="shared" si="1"/>
        <v>0.82687500000000003</v>
      </c>
      <c r="AM27" s="21">
        <f t="shared" si="12"/>
        <v>157.82737499999999</v>
      </c>
      <c r="AN27" s="41">
        <f t="shared" si="13"/>
        <v>4.1919621513944225</v>
      </c>
      <c r="AO27" s="41">
        <f t="shared" si="14"/>
        <v>0.58699211135968188</v>
      </c>
      <c r="AP27" s="41">
        <f t="shared" si="15"/>
        <v>1.1303873639823339</v>
      </c>
      <c r="AQ27" s="21">
        <f t="shared" si="16"/>
        <v>0.28019531250000007</v>
      </c>
      <c r="AR27" s="21">
        <f t="shared" si="17"/>
        <v>137.3754375</v>
      </c>
      <c r="AS27" s="21">
        <f t="shared" si="18"/>
        <v>137.65563281250002</v>
      </c>
      <c r="AT27" s="41">
        <f t="shared" si="19"/>
        <v>3.4748649655109314</v>
      </c>
    </row>
    <row r="28" spans="2:46" x14ac:dyDescent="0.25">
      <c r="B28" s="8" t="s">
        <v>79</v>
      </c>
      <c r="C28" s="7">
        <v>150</v>
      </c>
      <c r="D28" s="7">
        <v>300</v>
      </c>
      <c r="E28" s="7">
        <v>251</v>
      </c>
      <c r="F28" s="7">
        <v>1770</v>
      </c>
      <c r="G28" s="7">
        <v>1470</v>
      </c>
      <c r="H28" s="7">
        <v>100</v>
      </c>
      <c r="I28" s="7">
        <v>150</v>
      </c>
      <c r="J28" s="7">
        <v>100</v>
      </c>
      <c r="K28" s="7">
        <v>150</v>
      </c>
      <c r="L28" s="7">
        <v>875</v>
      </c>
      <c r="M28" s="7">
        <f t="shared" si="2"/>
        <v>775</v>
      </c>
      <c r="N28" s="7">
        <v>5</v>
      </c>
      <c r="O28" s="7">
        <v>16</v>
      </c>
      <c r="P28" s="24">
        <f t="shared" si="3"/>
        <v>1005.3096491487338</v>
      </c>
      <c r="Q28" s="32">
        <f t="shared" si="4"/>
        <v>2.6701451504614445E-2</v>
      </c>
      <c r="R28" s="24">
        <v>565</v>
      </c>
      <c r="S28" s="42">
        <f t="shared" si="5"/>
        <v>3.4860557768924303</v>
      </c>
      <c r="T28" s="42">
        <f t="shared" si="6"/>
        <v>3.0876494023904382</v>
      </c>
      <c r="U28" s="55">
        <v>12.5</v>
      </c>
      <c r="V28" s="7">
        <v>27.8</v>
      </c>
      <c r="W28" s="7" t="s">
        <v>457</v>
      </c>
      <c r="X28" s="7">
        <f t="shared" si="7"/>
        <v>0.75</v>
      </c>
      <c r="Y28" s="7">
        <v>30</v>
      </c>
      <c r="Z28" s="7">
        <v>1</v>
      </c>
      <c r="AA28" s="7">
        <v>0.6</v>
      </c>
      <c r="AB28" s="24">
        <v>50</v>
      </c>
      <c r="AC28" s="7">
        <v>1025</v>
      </c>
      <c r="AD28" s="7">
        <f t="shared" si="8"/>
        <v>0.375</v>
      </c>
      <c r="AE28" s="24">
        <v>78688.499999999985</v>
      </c>
      <c r="AF28" s="66">
        <v>194</v>
      </c>
      <c r="AG28" s="45">
        <v>2.09</v>
      </c>
      <c r="AH28" s="45">
        <f t="shared" si="9"/>
        <v>0.39639109384618559</v>
      </c>
      <c r="AI28" s="45">
        <f t="shared" si="10"/>
        <v>0.68991886569389593</v>
      </c>
      <c r="AJ28" s="21">
        <f t="shared" si="0"/>
        <v>78.688500000000005</v>
      </c>
      <c r="AK28" s="21">
        <f t="shared" si="11"/>
        <v>1.125</v>
      </c>
      <c r="AL28" s="21">
        <f t="shared" si="1"/>
        <v>0.82687500000000003</v>
      </c>
      <c r="AM28" s="21">
        <f t="shared" si="12"/>
        <v>79.515375000000006</v>
      </c>
      <c r="AN28" s="41">
        <f t="shared" si="13"/>
        <v>2.1119621513944224</v>
      </c>
      <c r="AO28" s="41">
        <f t="shared" si="14"/>
        <v>0.40055645327893713</v>
      </c>
      <c r="AP28" s="41">
        <f t="shared" si="15"/>
        <v>0.69716867553994266</v>
      </c>
      <c r="AQ28" s="21">
        <f t="shared" si="16"/>
        <v>0.28019531250000007</v>
      </c>
      <c r="AR28" s="21">
        <f t="shared" si="17"/>
        <v>68.852437499999994</v>
      </c>
      <c r="AS28" s="21">
        <f t="shared" si="18"/>
        <v>69.132632812499992</v>
      </c>
      <c r="AT28" s="41">
        <f t="shared" si="19"/>
        <v>3.463843514365061</v>
      </c>
    </row>
    <row r="29" spans="2:46" x14ac:dyDescent="0.25">
      <c r="B29" s="8" t="s">
        <v>80</v>
      </c>
      <c r="C29" s="7">
        <v>150</v>
      </c>
      <c r="D29" s="7">
        <v>300</v>
      </c>
      <c r="E29" s="7">
        <v>251</v>
      </c>
      <c r="F29" s="7">
        <v>1770</v>
      </c>
      <c r="G29" s="7">
        <v>1470</v>
      </c>
      <c r="H29" s="7">
        <v>100</v>
      </c>
      <c r="I29" s="7">
        <v>150</v>
      </c>
      <c r="J29" s="7">
        <v>100</v>
      </c>
      <c r="K29" s="7">
        <v>150</v>
      </c>
      <c r="L29" s="7">
        <v>875</v>
      </c>
      <c r="M29" s="7">
        <f t="shared" si="2"/>
        <v>775</v>
      </c>
      <c r="N29" s="7">
        <v>5</v>
      </c>
      <c r="O29" s="7">
        <v>16</v>
      </c>
      <c r="P29" s="24">
        <f t="shared" si="3"/>
        <v>1005.3096491487338</v>
      </c>
      <c r="Q29" s="32">
        <f t="shared" si="4"/>
        <v>2.6701451504614445E-2</v>
      </c>
      <c r="R29" s="24">
        <v>565</v>
      </c>
      <c r="S29" s="42">
        <f t="shared" si="5"/>
        <v>3.4860557768924303</v>
      </c>
      <c r="T29" s="42">
        <f t="shared" si="6"/>
        <v>3.0876494023904382</v>
      </c>
      <c r="U29" s="55">
        <v>12.5</v>
      </c>
      <c r="V29" s="7">
        <v>27.2</v>
      </c>
      <c r="W29" s="7" t="s">
        <v>457</v>
      </c>
      <c r="X29" s="7">
        <f t="shared" si="7"/>
        <v>0.75</v>
      </c>
      <c r="Y29" s="7">
        <v>30</v>
      </c>
      <c r="Z29" s="7">
        <v>1</v>
      </c>
      <c r="AA29" s="7">
        <v>0.6</v>
      </c>
      <c r="AB29" s="24">
        <v>50</v>
      </c>
      <c r="AC29" s="7">
        <v>1025</v>
      </c>
      <c r="AD29" s="7">
        <f t="shared" si="8"/>
        <v>0.375</v>
      </c>
      <c r="AE29" s="24">
        <v>77935.499999999985</v>
      </c>
      <c r="AF29" s="66">
        <v>192</v>
      </c>
      <c r="AG29" s="45">
        <v>2.0699999999999998</v>
      </c>
      <c r="AH29" s="45">
        <f t="shared" si="9"/>
        <v>0.39690438172851417</v>
      </c>
      <c r="AI29" s="45">
        <f t="shared" si="10"/>
        <v>0.68830466147323643</v>
      </c>
      <c r="AJ29" s="21">
        <f t="shared" si="0"/>
        <v>77.935500000000005</v>
      </c>
      <c r="AK29" s="21">
        <f t="shared" si="11"/>
        <v>1.125</v>
      </c>
      <c r="AL29" s="21">
        <f t="shared" si="1"/>
        <v>0.82687500000000003</v>
      </c>
      <c r="AM29" s="21">
        <f t="shared" si="12"/>
        <v>78.762375000000006</v>
      </c>
      <c r="AN29" s="41">
        <f t="shared" si="13"/>
        <v>2.0919621513944224</v>
      </c>
      <c r="AO29" s="41">
        <f t="shared" si="14"/>
        <v>0.40111543202833605</v>
      </c>
      <c r="AP29" s="41">
        <f t="shared" si="15"/>
        <v>0.69560739151225182</v>
      </c>
      <c r="AQ29" s="21">
        <f t="shared" si="16"/>
        <v>0.28019531250000007</v>
      </c>
      <c r="AR29" s="21">
        <f t="shared" si="17"/>
        <v>68.193562499999999</v>
      </c>
      <c r="AS29" s="21">
        <f t="shared" si="18"/>
        <v>68.473757812499997</v>
      </c>
      <c r="AT29" s="41">
        <f t="shared" si="19"/>
        <v>3.4636311561967976</v>
      </c>
    </row>
    <row r="30" spans="2:46" x14ac:dyDescent="0.25">
      <c r="B30" s="8" t="s">
        <v>81</v>
      </c>
      <c r="C30" s="7">
        <v>150</v>
      </c>
      <c r="D30" s="7">
        <v>300</v>
      </c>
      <c r="E30" s="7">
        <v>251</v>
      </c>
      <c r="F30" s="7">
        <v>1770</v>
      </c>
      <c r="G30" s="7">
        <v>1470</v>
      </c>
      <c r="H30" s="7">
        <v>100</v>
      </c>
      <c r="I30" s="7">
        <v>150</v>
      </c>
      <c r="J30" s="7">
        <v>100</v>
      </c>
      <c r="K30" s="7">
        <v>150</v>
      </c>
      <c r="L30" s="7">
        <v>875</v>
      </c>
      <c r="M30" s="7">
        <f t="shared" si="2"/>
        <v>775</v>
      </c>
      <c r="N30" s="7">
        <v>5</v>
      </c>
      <c r="O30" s="7">
        <v>16</v>
      </c>
      <c r="P30" s="24">
        <f t="shared" si="3"/>
        <v>1005.3096491487338</v>
      </c>
      <c r="Q30" s="32">
        <f t="shared" si="4"/>
        <v>2.6701451504614445E-2</v>
      </c>
      <c r="R30" s="24">
        <v>565</v>
      </c>
      <c r="S30" s="42">
        <f t="shared" si="5"/>
        <v>3.4860557768924303</v>
      </c>
      <c r="T30" s="42">
        <f t="shared" si="6"/>
        <v>3.0876494023904382</v>
      </c>
      <c r="U30" s="55">
        <v>12.5</v>
      </c>
      <c r="V30" s="7">
        <v>27.6</v>
      </c>
      <c r="W30" s="7" t="s">
        <v>457</v>
      </c>
      <c r="X30" s="7">
        <f t="shared" si="7"/>
        <v>0.75</v>
      </c>
      <c r="Y30" s="7">
        <v>60</v>
      </c>
      <c r="Z30" s="7">
        <v>1</v>
      </c>
      <c r="AA30" s="7">
        <v>0.7</v>
      </c>
      <c r="AB30" s="24">
        <v>85</v>
      </c>
      <c r="AC30" s="7">
        <v>1050</v>
      </c>
      <c r="AD30" s="7">
        <f t="shared" si="8"/>
        <v>0.63749999999999996</v>
      </c>
      <c r="AE30" s="24">
        <v>98643</v>
      </c>
      <c r="AF30" s="66">
        <v>244</v>
      </c>
      <c r="AG30" s="45">
        <v>2.62</v>
      </c>
      <c r="AH30" s="45">
        <f t="shared" si="9"/>
        <v>0.49870847689560704</v>
      </c>
      <c r="AI30" s="45">
        <f t="shared" si="10"/>
        <v>0.86695841019856035</v>
      </c>
      <c r="AJ30" s="21">
        <f t="shared" si="0"/>
        <v>98.643000000000001</v>
      </c>
      <c r="AK30" s="21">
        <f t="shared" si="11"/>
        <v>1.125</v>
      </c>
      <c r="AL30" s="21">
        <f t="shared" si="1"/>
        <v>0.82687500000000003</v>
      </c>
      <c r="AM30" s="21">
        <f t="shared" si="12"/>
        <v>99.469875000000002</v>
      </c>
      <c r="AN30" s="41">
        <f t="shared" si="13"/>
        <v>2.6419621513944223</v>
      </c>
      <c r="AO30" s="41">
        <f t="shared" si="14"/>
        <v>0.50288890096860817</v>
      </c>
      <c r="AP30" s="41">
        <f t="shared" si="15"/>
        <v>0.87422568953346425</v>
      </c>
      <c r="AQ30" s="21">
        <f t="shared" si="16"/>
        <v>0.28019531250000007</v>
      </c>
      <c r="AR30" s="21">
        <f t="shared" si="17"/>
        <v>86.312624999999997</v>
      </c>
      <c r="AS30" s="21">
        <f t="shared" si="18"/>
        <v>86.592820312499995</v>
      </c>
      <c r="AT30" s="41">
        <f t="shared" si="19"/>
        <v>3.4682994824921192</v>
      </c>
    </row>
    <row r="31" spans="2:46" x14ac:dyDescent="0.25">
      <c r="B31" s="8" t="s">
        <v>82</v>
      </c>
      <c r="C31" s="7">
        <v>150</v>
      </c>
      <c r="D31" s="7">
        <v>300</v>
      </c>
      <c r="E31" s="7">
        <v>251</v>
      </c>
      <c r="F31" s="7">
        <v>1770</v>
      </c>
      <c r="G31" s="7">
        <v>1470</v>
      </c>
      <c r="H31" s="7">
        <v>100</v>
      </c>
      <c r="I31" s="7">
        <v>150</v>
      </c>
      <c r="J31" s="7">
        <v>100</v>
      </c>
      <c r="K31" s="7">
        <v>150</v>
      </c>
      <c r="L31" s="7">
        <v>875</v>
      </c>
      <c r="M31" s="7">
        <f t="shared" si="2"/>
        <v>775</v>
      </c>
      <c r="N31" s="7">
        <v>5</v>
      </c>
      <c r="O31" s="7">
        <v>16</v>
      </c>
      <c r="P31" s="24">
        <f t="shared" si="3"/>
        <v>1005.3096491487338</v>
      </c>
      <c r="Q31" s="32">
        <f t="shared" si="4"/>
        <v>2.6701451504614445E-2</v>
      </c>
      <c r="R31" s="24">
        <v>565</v>
      </c>
      <c r="S31" s="42">
        <f t="shared" si="5"/>
        <v>3.4860557768924303</v>
      </c>
      <c r="T31" s="42">
        <f t="shared" si="6"/>
        <v>3.0876494023904382</v>
      </c>
      <c r="U31" s="55">
        <v>12.5</v>
      </c>
      <c r="V31" s="7">
        <v>27.9</v>
      </c>
      <c r="W31" s="7" t="s">
        <v>457</v>
      </c>
      <c r="X31" s="7">
        <f t="shared" si="7"/>
        <v>0.75</v>
      </c>
      <c r="Y31" s="7">
        <v>60</v>
      </c>
      <c r="Z31" s="7">
        <v>1</v>
      </c>
      <c r="AA31" s="7">
        <v>0.7</v>
      </c>
      <c r="AB31" s="24">
        <v>85</v>
      </c>
      <c r="AC31" s="7">
        <v>1050</v>
      </c>
      <c r="AD31" s="7">
        <f t="shared" si="8"/>
        <v>0.63749999999999996</v>
      </c>
      <c r="AE31" s="24">
        <v>81324.000000000015</v>
      </c>
      <c r="AF31" s="66">
        <v>201</v>
      </c>
      <c r="AG31" s="45">
        <v>2.16</v>
      </c>
      <c r="AH31" s="45">
        <f t="shared" si="9"/>
        <v>0.40893252065788671</v>
      </c>
      <c r="AI31" s="45">
        <f t="shared" si="10"/>
        <v>0.71217329316130229</v>
      </c>
      <c r="AJ31" s="21">
        <f t="shared" si="0"/>
        <v>81.323999999999998</v>
      </c>
      <c r="AK31" s="21">
        <f t="shared" si="11"/>
        <v>1.125</v>
      </c>
      <c r="AL31" s="21">
        <f t="shared" si="1"/>
        <v>0.82687500000000003</v>
      </c>
      <c r="AM31" s="21">
        <f t="shared" si="12"/>
        <v>82.150874999999999</v>
      </c>
      <c r="AN31" s="41">
        <f t="shared" si="13"/>
        <v>2.1819621513944223</v>
      </c>
      <c r="AO31" s="41">
        <f t="shared" si="14"/>
        <v>0.4130904085878826</v>
      </c>
      <c r="AP31" s="41">
        <f t="shared" si="15"/>
        <v>0.71941443097772484</v>
      </c>
      <c r="AQ31" s="21">
        <f t="shared" si="16"/>
        <v>0.28019531250000007</v>
      </c>
      <c r="AR31" s="21">
        <f t="shared" si="17"/>
        <v>71.158500000000004</v>
      </c>
      <c r="AS31" s="21">
        <f t="shared" si="18"/>
        <v>71.438695312500002</v>
      </c>
      <c r="AT31" s="41">
        <f t="shared" si="19"/>
        <v>3.4645561107663889</v>
      </c>
    </row>
    <row r="32" spans="2:46" x14ac:dyDescent="0.25">
      <c r="B32" s="8" t="s">
        <v>83</v>
      </c>
      <c r="C32" s="7">
        <v>150</v>
      </c>
      <c r="D32" s="7">
        <v>300</v>
      </c>
      <c r="E32" s="7">
        <v>251</v>
      </c>
      <c r="F32" s="7">
        <v>1770</v>
      </c>
      <c r="G32" s="7">
        <v>1470</v>
      </c>
      <c r="H32" s="7">
        <v>100</v>
      </c>
      <c r="I32" s="7">
        <v>150</v>
      </c>
      <c r="J32" s="7">
        <v>100</v>
      </c>
      <c r="K32" s="7">
        <v>150</v>
      </c>
      <c r="L32" s="7">
        <v>875</v>
      </c>
      <c r="M32" s="7">
        <f t="shared" si="2"/>
        <v>775</v>
      </c>
      <c r="N32" s="7">
        <v>5</v>
      </c>
      <c r="O32" s="7">
        <v>16</v>
      </c>
      <c r="P32" s="24">
        <f t="shared" si="3"/>
        <v>1005.3096491487338</v>
      </c>
      <c r="Q32" s="32">
        <f t="shared" si="4"/>
        <v>2.6701451504614445E-2</v>
      </c>
      <c r="R32" s="24">
        <v>565</v>
      </c>
      <c r="S32" s="42">
        <f t="shared" si="5"/>
        <v>3.4860557768924303</v>
      </c>
      <c r="T32" s="42">
        <f t="shared" si="6"/>
        <v>3.0876494023904382</v>
      </c>
      <c r="U32" s="55">
        <v>12.5</v>
      </c>
      <c r="V32" s="7">
        <v>34.700000000000003</v>
      </c>
      <c r="W32" s="7" t="s">
        <v>457</v>
      </c>
      <c r="X32" s="7">
        <f t="shared" si="7"/>
        <v>0.75</v>
      </c>
      <c r="Y32" s="7">
        <v>30</v>
      </c>
      <c r="Z32" s="7">
        <v>1</v>
      </c>
      <c r="AA32" s="7">
        <v>0.6</v>
      </c>
      <c r="AB32" s="24">
        <v>50</v>
      </c>
      <c r="AC32" s="7">
        <v>1025</v>
      </c>
      <c r="AD32" s="7">
        <f t="shared" si="8"/>
        <v>0.375</v>
      </c>
      <c r="AE32" s="24">
        <v>99396</v>
      </c>
      <c r="AF32" s="66">
        <v>246</v>
      </c>
      <c r="AG32" s="45">
        <v>2.64</v>
      </c>
      <c r="AH32" s="45">
        <f t="shared" si="9"/>
        <v>0.44816629272692898</v>
      </c>
      <c r="AI32" s="45">
        <f t="shared" si="10"/>
        <v>0.80939546849046029</v>
      </c>
      <c r="AJ32" s="21">
        <f t="shared" si="0"/>
        <v>99.396000000000001</v>
      </c>
      <c r="AK32" s="21">
        <f t="shared" si="11"/>
        <v>1.125</v>
      </c>
      <c r="AL32" s="21">
        <f t="shared" si="1"/>
        <v>0.82687500000000003</v>
      </c>
      <c r="AM32" s="21">
        <f t="shared" si="12"/>
        <v>100.222875</v>
      </c>
      <c r="AN32" s="41">
        <f t="shared" si="13"/>
        <v>2.6619621513944223</v>
      </c>
      <c r="AO32" s="41">
        <f t="shared" si="14"/>
        <v>0.45189458665524179</v>
      </c>
      <c r="AP32" s="41">
        <f t="shared" si="15"/>
        <v>0.81612882675445531</v>
      </c>
      <c r="AQ32" s="21">
        <f t="shared" si="16"/>
        <v>0.28019531250000007</v>
      </c>
      <c r="AR32" s="21">
        <f t="shared" si="17"/>
        <v>86.971500000000006</v>
      </c>
      <c r="AS32" s="21">
        <f t="shared" si="18"/>
        <v>87.251695312500004</v>
      </c>
      <c r="AT32" s="41">
        <f t="shared" si="19"/>
        <v>3.4684328900568437</v>
      </c>
    </row>
    <row r="33" spans="1:60" x14ac:dyDescent="0.25">
      <c r="B33" s="8" t="s">
        <v>84</v>
      </c>
      <c r="C33" s="7">
        <v>150</v>
      </c>
      <c r="D33" s="7">
        <v>300</v>
      </c>
      <c r="E33" s="7">
        <v>251</v>
      </c>
      <c r="F33" s="7">
        <v>1770</v>
      </c>
      <c r="G33" s="7">
        <v>1470</v>
      </c>
      <c r="H33" s="7">
        <v>100</v>
      </c>
      <c r="I33" s="7">
        <v>150</v>
      </c>
      <c r="J33" s="7">
        <v>100</v>
      </c>
      <c r="K33" s="7">
        <v>150</v>
      </c>
      <c r="L33" s="7">
        <v>875</v>
      </c>
      <c r="M33" s="7">
        <f t="shared" si="2"/>
        <v>775</v>
      </c>
      <c r="N33" s="7">
        <v>5</v>
      </c>
      <c r="O33" s="7">
        <v>16</v>
      </c>
      <c r="P33" s="24">
        <f t="shared" si="3"/>
        <v>1005.3096491487338</v>
      </c>
      <c r="Q33" s="32">
        <f t="shared" si="4"/>
        <v>2.6701451504614445E-2</v>
      </c>
      <c r="R33" s="24">
        <v>565</v>
      </c>
      <c r="S33" s="42">
        <f t="shared" si="5"/>
        <v>3.4860557768924303</v>
      </c>
      <c r="T33" s="42">
        <f t="shared" si="6"/>
        <v>3.0876494023904382</v>
      </c>
      <c r="U33" s="55">
        <v>12.5</v>
      </c>
      <c r="V33" s="7">
        <v>36.200000000000003</v>
      </c>
      <c r="W33" s="7" t="s">
        <v>457</v>
      </c>
      <c r="X33" s="7">
        <f t="shared" si="7"/>
        <v>0.75</v>
      </c>
      <c r="Y33" s="7">
        <v>30</v>
      </c>
      <c r="Z33" s="7">
        <v>1</v>
      </c>
      <c r="AA33" s="7">
        <v>0.6</v>
      </c>
      <c r="AB33" s="24">
        <v>50</v>
      </c>
      <c r="AC33" s="7">
        <v>1025</v>
      </c>
      <c r="AD33" s="7">
        <f t="shared" si="8"/>
        <v>0.375</v>
      </c>
      <c r="AE33" s="24">
        <v>100149.00000000001</v>
      </c>
      <c r="AF33" s="66">
        <v>247</v>
      </c>
      <c r="AG33" s="45">
        <v>2.66</v>
      </c>
      <c r="AH33" s="45">
        <f t="shared" si="9"/>
        <v>0.44210695938416489</v>
      </c>
      <c r="AI33" s="45">
        <f t="shared" si="10"/>
        <v>0.80410379746052552</v>
      </c>
      <c r="AJ33" s="21">
        <f t="shared" si="0"/>
        <v>100.149</v>
      </c>
      <c r="AK33" s="21">
        <f t="shared" si="11"/>
        <v>1.125</v>
      </c>
      <c r="AL33" s="21">
        <f t="shared" si="1"/>
        <v>0.82687500000000003</v>
      </c>
      <c r="AM33" s="21">
        <f t="shared" si="12"/>
        <v>100.975875</v>
      </c>
      <c r="AN33" s="41">
        <f t="shared" si="13"/>
        <v>2.6819621513944223</v>
      </c>
      <c r="AO33" s="41">
        <f t="shared" si="14"/>
        <v>0.44575719245729373</v>
      </c>
      <c r="AP33" s="41">
        <f t="shared" si="15"/>
        <v>0.81074283856453222</v>
      </c>
      <c r="AQ33" s="21">
        <f t="shared" si="16"/>
        <v>0.28019531250000007</v>
      </c>
      <c r="AR33" s="21">
        <f t="shared" si="17"/>
        <v>87.630375000000001</v>
      </c>
      <c r="AS33" s="21">
        <f t="shared" si="18"/>
        <v>87.910570312499999</v>
      </c>
      <c r="AT33" s="41">
        <f t="shared" si="19"/>
        <v>3.4685643079206372</v>
      </c>
    </row>
    <row r="34" spans="1:60" x14ac:dyDescent="0.25">
      <c r="B34" s="8" t="s">
        <v>85</v>
      </c>
      <c r="C34" s="7">
        <v>150</v>
      </c>
      <c r="D34" s="7">
        <v>300</v>
      </c>
      <c r="E34" s="7">
        <v>251</v>
      </c>
      <c r="F34" s="7">
        <v>1770</v>
      </c>
      <c r="G34" s="7">
        <v>1470</v>
      </c>
      <c r="H34" s="7">
        <v>100</v>
      </c>
      <c r="I34" s="7">
        <v>150</v>
      </c>
      <c r="J34" s="7">
        <v>100</v>
      </c>
      <c r="K34" s="7">
        <v>150</v>
      </c>
      <c r="L34" s="7">
        <v>875</v>
      </c>
      <c r="M34" s="7">
        <f t="shared" si="2"/>
        <v>775</v>
      </c>
      <c r="N34" s="7">
        <v>5</v>
      </c>
      <c r="O34" s="7">
        <v>16</v>
      </c>
      <c r="P34" s="24">
        <f t="shared" si="3"/>
        <v>1005.3096491487338</v>
      </c>
      <c r="Q34" s="32">
        <f t="shared" si="4"/>
        <v>2.6701451504614445E-2</v>
      </c>
      <c r="R34" s="24">
        <v>565</v>
      </c>
      <c r="S34" s="42">
        <f t="shared" si="5"/>
        <v>3.4860557768924303</v>
      </c>
      <c r="T34" s="42">
        <f t="shared" si="6"/>
        <v>3.0876494023904382</v>
      </c>
      <c r="U34" s="55">
        <v>12.5</v>
      </c>
      <c r="V34" s="7">
        <v>37</v>
      </c>
      <c r="W34" s="7" t="s">
        <v>457</v>
      </c>
      <c r="X34" s="7">
        <f t="shared" si="7"/>
        <v>0.75</v>
      </c>
      <c r="Y34" s="7">
        <v>60</v>
      </c>
      <c r="Z34" s="7">
        <v>1</v>
      </c>
      <c r="AA34" s="7">
        <v>0.7</v>
      </c>
      <c r="AB34" s="24">
        <v>85</v>
      </c>
      <c r="AC34" s="7">
        <v>1050</v>
      </c>
      <c r="AD34" s="7">
        <f t="shared" si="8"/>
        <v>0.63749999999999996</v>
      </c>
      <c r="AE34" s="24">
        <v>110314.50000000001</v>
      </c>
      <c r="AF34" s="66">
        <v>272</v>
      </c>
      <c r="AG34" s="45">
        <v>2.93</v>
      </c>
      <c r="AH34" s="45">
        <f t="shared" si="9"/>
        <v>0.48168903280469694</v>
      </c>
      <c r="AI34" s="45">
        <f t="shared" si="10"/>
        <v>0.8792931954853862</v>
      </c>
      <c r="AJ34" s="21">
        <f t="shared" si="0"/>
        <v>110.3145</v>
      </c>
      <c r="AK34" s="21">
        <f t="shared" si="11"/>
        <v>1.125</v>
      </c>
      <c r="AL34" s="21">
        <f t="shared" si="1"/>
        <v>0.82687500000000003</v>
      </c>
      <c r="AM34" s="21">
        <f t="shared" si="12"/>
        <v>111.141375</v>
      </c>
      <c r="AN34" s="41">
        <f t="shared" si="13"/>
        <v>2.9519621513944223</v>
      </c>
      <c r="AO34" s="41">
        <f t="shared" si="14"/>
        <v>0.48529958825298686</v>
      </c>
      <c r="AP34" s="41">
        <f t="shared" si="15"/>
        <v>0.88588403858413545</v>
      </c>
      <c r="AQ34" s="21">
        <f t="shared" si="16"/>
        <v>0.28019531250000007</v>
      </c>
      <c r="AR34" s="21">
        <f t="shared" si="17"/>
        <v>96.525187500000001</v>
      </c>
      <c r="AS34" s="21">
        <f t="shared" si="18"/>
        <v>96.8053828125</v>
      </c>
      <c r="AT34" s="41">
        <f t="shared" si="19"/>
        <v>3.4701641579119911</v>
      </c>
    </row>
    <row r="35" spans="1:60" x14ac:dyDescent="0.25">
      <c r="A35" s="1"/>
      <c r="B35" s="9" t="s">
        <v>86</v>
      </c>
      <c r="C35" s="17">
        <v>150</v>
      </c>
      <c r="D35" s="17">
        <v>300</v>
      </c>
      <c r="E35" s="17">
        <v>251</v>
      </c>
      <c r="F35" s="17">
        <v>1770</v>
      </c>
      <c r="G35" s="17">
        <v>1470</v>
      </c>
      <c r="H35" s="17">
        <v>100</v>
      </c>
      <c r="I35" s="17">
        <v>150</v>
      </c>
      <c r="J35" s="17">
        <v>100</v>
      </c>
      <c r="K35" s="17">
        <v>150</v>
      </c>
      <c r="L35" s="17">
        <v>875</v>
      </c>
      <c r="M35" s="17">
        <f t="shared" si="2"/>
        <v>775</v>
      </c>
      <c r="N35" s="17">
        <v>5</v>
      </c>
      <c r="O35" s="17">
        <v>16</v>
      </c>
      <c r="P35" s="24">
        <f t="shared" si="3"/>
        <v>1005.3096491487338</v>
      </c>
      <c r="Q35" s="33">
        <f t="shared" si="4"/>
        <v>2.6701451504614445E-2</v>
      </c>
      <c r="R35" s="26">
        <v>565</v>
      </c>
      <c r="S35" s="44">
        <f t="shared" si="5"/>
        <v>3.4860557768924303</v>
      </c>
      <c r="T35" s="44">
        <f t="shared" si="6"/>
        <v>3.0876494023904382</v>
      </c>
      <c r="U35" s="56">
        <v>12.5</v>
      </c>
      <c r="V35" s="17">
        <v>38.299999999999997</v>
      </c>
      <c r="W35" s="17" t="s">
        <v>457</v>
      </c>
      <c r="X35" s="7">
        <f t="shared" si="7"/>
        <v>0.75</v>
      </c>
      <c r="Y35" s="17">
        <v>60</v>
      </c>
      <c r="Z35" s="17">
        <v>1</v>
      </c>
      <c r="AA35" s="17">
        <v>0.7</v>
      </c>
      <c r="AB35" s="26">
        <v>85</v>
      </c>
      <c r="AC35" s="17">
        <v>1050</v>
      </c>
      <c r="AD35" s="7">
        <f t="shared" si="8"/>
        <v>0.63749999999999996</v>
      </c>
      <c r="AE35" s="26">
        <v>103914</v>
      </c>
      <c r="AF35" s="67">
        <v>257</v>
      </c>
      <c r="AG35" s="46">
        <v>2.76</v>
      </c>
      <c r="AH35" s="45">
        <f t="shared" si="9"/>
        <v>0.44597415888327535</v>
      </c>
      <c r="AI35" s="45">
        <f t="shared" si="10"/>
        <v>0.81879683905206002</v>
      </c>
      <c r="AJ35" s="27">
        <f t="shared" si="0"/>
        <v>103.91399999999999</v>
      </c>
      <c r="AK35" s="21">
        <f t="shared" si="11"/>
        <v>1.125</v>
      </c>
      <c r="AL35" s="27">
        <f t="shared" si="1"/>
        <v>0.82687500000000003</v>
      </c>
      <c r="AM35" s="27">
        <f t="shared" si="12"/>
        <v>104.74087499999999</v>
      </c>
      <c r="AN35" s="41">
        <f t="shared" si="13"/>
        <v>2.7819621513944219</v>
      </c>
      <c r="AO35" s="41">
        <f t="shared" si="14"/>
        <v>0.44952290960624436</v>
      </c>
      <c r="AP35" s="41">
        <f t="shared" si="15"/>
        <v>0.82531225214645698</v>
      </c>
      <c r="AQ35" s="21">
        <f t="shared" si="16"/>
        <v>0.28019531250000007</v>
      </c>
      <c r="AR35" s="21">
        <f t="shared" si="17"/>
        <v>90.924749999999989</v>
      </c>
      <c r="AS35" s="21">
        <f t="shared" si="18"/>
        <v>91.204945312499987</v>
      </c>
      <c r="AT35" s="41">
        <f t="shared" si="19"/>
        <v>3.4691930536770466</v>
      </c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t="s">
        <v>2</v>
      </c>
      <c r="B36" s="8" t="s">
        <v>87</v>
      </c>
      <c r="C36" s="8">
        <v>150</v>
      </c>
      <c r="D36" s="8">
        <v>300</v>
      </c>
      <c r="E36" s="8">
        <v>261</v>
      </c>
      <c r="F36" s="8">
        <v>2100</v>
      </c>
      <c r="G36" s="8">
        <v>1800</v>
      </c>
      <c r="H36" s="8">
        <v>100</v>
      </c>
      <c r="I36" s="8">
        <v>150</v>
      </c>
      <c r="J36" s="8">
        <v>100</v>
      </c>
      <c r="K36" s="8">
        <v>150</v>
      </c>
      <c r="L36" s="8">
        <v>600</v>
      </c>
      <c r="M36" s="8">
        <f t="shared" si="2"/>
        <v>500</v>
      </c>
      <c r="N36" s="8">
        <v>4</v>
      </c>
      <c r="O36" s="8">
        <v>12</v>
      </c>
      <c r="P36" s="25">
        <f>N36*PI()*(O36/2)^2</f>
        <v>452.38934211693021</v>
      </c>
      <c r="Q36" s="34">
        <f t="shared" si="4"/>
        <v>1.1555283323548665E-2</v>
      </c>
      <c r="R36" s="39">
        <v>415</v>
      </c>
      <c r="S36" s="45">
        <f t="shared" si="5"/>
        <v>2.2988505747126435</v>
      </c>
      <c r="T36" s="45">
        <f t="shared" si="6"/>
        <v>1.9157088122605364</v>
      </c>
      <c r="U36" s="57">
        <v>20</v>
      </c>
      <c r="V36" s="8">
        <v>28.7</v>
      </c>
      <c r="W36" s="8" t="s">
        <v>456</v>
      </c>
      <c r="X36" s="7">
        <f t="shared" si="7"/>
        <v>1</v>
      </c>
      <c r="Y36" s="8">
        <v>60</v>
      </c>
      <c r="Z36" s="8">
        <v>0.5</v>
      </c>
      <c r="AA36" s="8">
        <v>0.75</v>
      </c>
      <c r="AB36" s="66">
        <v>80</v>
      </c>
      <c r="AC36" s="8">
        <v>1100</v>
      </c>
      <c r="AD36" s="7">
        <f t="shared" si="8"/>
        <v>0.4</v>
      </c>
      <c r="AE36" s="66">
        <f>AG36*C36*E36</f>
        <v>143039.86429168269</v>
      </c>
      <c r="AF36" s="66">
        <v>286.10000000000002</v>
      </c>
      <c r="AG36" s="41">
        <f>0.682*SQRT(V36)</f>
        <v>3.6536363803750369</v>
      </c>
      <c r="AH36" s="45">
        <f t="shared" si="9"/>
        <v>0.68200000000000005</v>
      </c>
      <c r="AI36" s="45">
        <f t="shared" si="10"/>
        <v>1.1933413536475175</v>
      </c>
      <c r="AJ36" s="72">
        <f t="shared" si="0"/>
        <v>143.0398642916827</v>
      </c>
      <c r="AK36" s="21">
        <f t="shared" si="11"/>
        <v>1.125</v>
      </c>
      <c r="AL36" s="68">
        <f t="shared" si="1"/>
        <v>1.0125</v>
      </c>
      <c r="AM36" s="21">
        <f t="shared" si="12"/>
        <v>144.05236429168269</v>
      </c>
      <c r="AN36" s="41">
        <f t="shared" si="13"/>
        <v>3.6794984493405543</v>
      </c>
      <c r="AO36" s="41">
        <f t="shared" si="14"/>
        <v>0.68682750038543039</v>
      </c>
      <c r="AP36" s="41">
        <f t="shared" si="15"/>
        <v>1.2017883563523317</v>
      </c>
      <c r="AQ36" s="21">
        <f t="shared" si="16"/>
        <v>0.39234374999999999</v>
      </c>
      <c r="AR36" s="21">
        <f t="shared" si="17"/>
        <v>85.823918575009628</v>
      </c>
      <c r="AS36" s="21">
        <f t="shared" si="18"/>
        <v>86.216262325009623</v>
      </c>
      <c r="AT36" s="41">
        <f t="shared" si="19"/>
        <v>2.2931279789584589</v>
      </c>
      <c r="AU36" s="4"/>
    </row>
    <row r="37" spans="1:60" x14ac:dyDescent="0.25">
      <c r="A37">
        <v>2014</v>
      </c>
      <c r="B37" t="s">
        <v>88</v>
      </c>
      <c r="C37" s="8">
        <v>150</v>
      </c>
      <c r="D37" s="8">
        <v>300</v>
      </c>
      <c r="E37" s="8">
        <v>261</v>
      </c>
      <c r="F37" s="8">
        <v>2100</v>
      </c>
      <c r="G37" s="8">
        <v>1800</v>
      </c>
      <c r="H37" s="8">
        <v>100</v>
      </c>
      <c r="I37" s="8">
        <v>150</v>
      </c>
      <c r="J37" s="8">
        <v>100</v>
      </c>
      <c r="K37" s="8">
        <v>150</v>
      </c>
      <c r="L37" s="8">
        <v>900</v>
      </c>
      <c r="M37" s="8">
        <f t="shared" si="2"/>
        <v>800</v>
      </c>
      <c r="N37" s="8">
        <v>3</v>
      </c>
      <c r="O37" s="8">
        <v>18</v>
      </c>
      <c r="P37" s="24">
        <f t="shared" si="3"/>
        <v>763.40701482231975</v>
      </c>
      <c r="Q37" s="34">
        <f t="shared" si="4"/>
        <v>1.949954060848837E-2</v>
      </c>
      <c r="R37" s="39">
        <v>415</v>
      </c>
      <c r="S37" s="45">
        <f t="shared" si="5"/>
        <v>3.4482758620689653</v>
      </c>
      <c r="T37" s="45">
        <f t="shared" si="6"/>
        <v>3.0651340996168583</v>
      </c>
      <c r="U37" s="57">
        <v>20</v>
      </c>
      <c r="V37" s="8">
        <v>32.9</v>
      </c>
      <c r="W37" s="8" t="s">
        <v>456</v>
      </c>
      <c r="X37" s="7">
        <f t="shared" si="7"/>
        <v>1</v>
      </c>
      <c r="Y37" s="8">
        <v>60</v>
      </c>
      <c r="Z37" s="8">
        <v>0.75</v>
      </c>
      <c r="AA37" s="8">
        <v>0.75</v>
      </c>
      <c r="AB37" s="66">
        <v>80</v>
      </c>
      <c r="AC37" s="8">
        <v>1100</v>
      </c>
      <c r="AD37" s="7">
        <f t="shared" si="8"/>
        <v>0.6</v>
      </c>
      <c r="AE37" s="66">
        <f>AG37*C37*E37</f>
        <v>108461.80962464279</v>
      </c>
      <c r="AF37" s="66">
        <v>218</v>
      </c>
      <c r="AG37" s="41">
        <f>0.483*SQRT(V37)</f>
        <v>2.7704165932220377</v>
      </c>
      <c r="AH37" s="45">
        <f t="shared" si="9"/>
        <v>0.48300000000000004</v>
      </c>
      <c r="AI37" s="45">
        <f t="shared" si="10"/>
        <v>0.86459578455002795</v>
      </c>
      <c r="AJ37" s="72">
        <f t="shared" si="0"/>
        <v>108.46180962464278</v>
      </c>
      <c r="AK37" s="21">
        <f t="shared" si="11"/>
        <v>1.125</v>
      </c>
      <c r="AL37" s="68">
        <f t="shared" si="1"/>
        <v>1.0125</v>
      </c>
      <c r="AM37" s="21">
        <f t="shared" si="12"/>
        <v>109.47430962464279</v>
      </c>
      <c r="AN37" s="41">
        <f t="shared" si="13"/>
        <v>2.7962786621875551</v>
      </c>
      <c r="AO37" s="41">
        <f t="shared" si="14"/>
        <v>0.48750884511048109</v>
      </c>
      <c r="AP37" s="41">
        <f t="shared" si="15"/>
        <v>0.8726668579987048</v>
      </c>
      <c r="AQ37" s="21">
        <f t="shared" si="16"/>
        <v>0.44296875000000013</v>
      </c>
      <c r="AR37" s="21">
        <f t="shared" si="17"/>
        <v>97.615628662178509</v>
      </c>
      <c r="AS37" s="21">
        <f t="shared" si="18"/>
        <v>98.058597412178514</v>
      </c>
      <c r="AT37" s="41">
        <f t="shared" si="19"/>
        <v>3.4318868020179409</v>
      </c>
      <c r="AU37" s="4"/>
    </row>
    <row r="38" spans="1:60" x14ac:dyDescent="0.25">
      <c r="B38" t="s">
        <v>89</v>
      </c>
      <c r="C38" s="8">
        <v>150</v>
      </c>
      <c r="D38" s="8">
        <v>300</v>
      </c>
      <c r="E38" s="8">
        <v>261</v>
      </c>
      <c r="F38" s="8">
        <v>2100</v>
      </c>
      <c r="G38" s="8">
        <v>1800</v>
      </c>
      <c r="H38" s="8">
        <v>100</v>
      </c>
      <c r="I38" s="8">
        <v>150</v>
      </c>
      <c r="J38" s="8">
        <v>100</v>
      </c>
      <c r="K38" s="8">
        <v>150</v>
      </c>
      <c r="L38" s="8">
        <v>900</v>
      </c>
      <c r="M38" s="8">
        <f t="shared" si="2"/>
        <v>800</v>
      </c>
      <c r="N38" s="8">
        <v>3</v>
      </c>
      <c r="O38" s="8">
        <v>18</v>
      </c>
      <c r="P38" s="24">
        <f t="shared" si="3"/>
        <v>763.40701482231975</v>
      </c>
      <c r="Q38" s="34">
        <f t="shared" si="4"/>
        <v>1.949954060848837E-2</v>
      </c>
      <c r="R38" s="39">
        <v>415</v>
      </c>
      <c r="S38" s="45">
        <f t="shared" si="5"/>
        <v>3.4482758620689653</v>
      </c>
      <c r="T38" s="45">
        <f t="shared" si="6"/>
        <v>3.0651340996168583</v>
      </c>
      <c r="U38" s="57">
        <v>20</v>
      </c>
      <c r="V38" s="8">
        <v>23.8</v>
      </c>
      <c r="W38" s="8" t="s">
        <v>456</v>
      </c>
      <c r="X38" s="7">
        <f t="shared" si="7"/>
        <v>1</v>
      </c>
      <c r="Y38" s="8">
        <v>60</v>
      </c>
      <c r="Z38" s="8">
        <v>1</v>
      </c>
      <c r="AA38" s="8">
        <v>0.75</v>
      </c>
      <c r="AB38" s="66">
        <v>80</v>
      </c>
      <c r="AC38" s="8">
        <v>1100</v>
      </c>
      <c r="AD38" s="7">
        <f t="shared" si="8"/>
        <v>0.8</v>
      </c>
      <c r="AE38" s="66">
        <f>AG38*C38*E38</f>
        <v>93205.183737558284</v>
      </c>
      <c r="AF38" s="66">
        <v>191.8</v>
      </c>
      <c r="AG38" s="41">
        <f>0.488*SQRT(V38)</f>
        <v>2.3807198911253713</v>
      </c>
      <c r="AH38" s="45">
        <f t="shared" si="9"/>
        <v>0.48799999999999999</v>
      </c>
      <c r="AI38" s="45">
        <f t="shared" si="10"/>
        <v>0.82765494626626779</v>
      </c>
      <c r="AJ38" s="72">
        <f t="shared" si="0"/>
        <v>93.205183737558286</v>
      </c>
      <c r="AK38" s="21">
        <f t="shared" si="11"/>
        <v>1.125</v>
      </c>
      <c r="AL38" s="68">
        <f t="shared" si="1"/>
        <v>1.0125</v>
      </c>
      <c r="AM38" s="21">
        <f t="shared" si="12"/>
        <v>94.217683737558289</v>
      </c>
      <c r="AN38" s="41">
        <f t="shared" si="13"/>
        <v>2.4065819600908886</v>
      </c>
      <c r="AO38" s="41">
        <f t="shared" si="14"/>
        <v>0.4933012072954146</v>
      </c>
      <c r="AP38" s="41">
        <f t="shared" si="15"/>
        <v>0.83664586929748241</v>
      </c>
      <c r="AQ38" s="21">
        <f t="shared" si="16"/>
        <v>0.44296875000000013</v>
      </c>
      <c r="AR38" s="21">
        <f t="shared" si="17"/>
        <v>83.884665363802455</v>
      </c>
      <c r="AS38" s="21">
        <f t="shared" si="18"/>
        <v>84.327634113802461</v>
      </c>
      <c r="AT38" s="41">
        <f t="shared" si="19"/>
        <v>3.4292329291151007</v>
      </c>
      <c r="AU38" s="4"/>
    </row>
    <row r="39" spans="1:60" x14ac:dyDescent="0.25">
      <c r="A39" s="1"/>
      <c r="B39" s="1" t="s">
        <v>90</v>
      </c>
      <c r="C39" s="9">
        <v>150</v>
      </c>
      <c r="D39" s="9">
        <v>300</v>
      </c>
      <c r="E39" s="9">
        <v>261</v>
      </c>
      <c r="F39" s="9">
        <v>2100</v>
      </c>
      <c r="G39" s="9">
        <v>1800</v>
      </c>
      <c r="H39" s="9">
        <v>100</v>
      </c>
      <c r="I39" s="9">
        <v>150</v>
      </c>
      <c r="J39" s="9">
        <v>100</v>
      </c>
      <c r="K39" s="9">
        <v>150</v>
      </c>
      <c r="L39" s="9">
        <v>900</v>
      </c>
      <c r="M39" s="9">
        <f t="shared" si="2"/>
        <v>800</v>
      </c>
      <c r="N39" s="9">
        <v>3</v>
      </c>
      <c r="O39" s="9">
        <v>18</v>
      </c>
      <c r="P39" s="26">
        <f t="shared" si="3"/>
        <v>763.40701482231975</v>
      </c>
      <c r="Q39" s="35">
        <f t="shared" si="4"/>
        <v>1.949954060848837E-2</v>
      </c>
      <c r="R39" s="40">
        <v>415</v>
      </c>
      <c r="S39" s="46">
        <f t="shared" si="5"/>
        <v>3.4482758620689653</v>
      </c>
      <c r="T39" s="46">
        <f t="shared" si="6"/>
        <v>3.0651340996168583</v>
      </c>
      <c r="U39" s="58">
        <v>20</v>
      </c>
      <c r="V39" s="9">
        <v>24.1</v>
      </c>
      <c r="W39" s="9" t="s">
        <v>456</v>
      </c>
      <c r="X39" s="7">
        <f t="shared" si="7"/>
        <v>1</v>
      </c>
      <c r="Y39" s="9">
        <v>60</v>
      </c>
      <c r="Z39" s="9">
        <v>1.25</v>
      </c>
      <c r="AA39" s="9">
        <v>0.75</v>
      </c>
      <c r="AB39" s="67">
        <v>80</v>
      </c>
      <c r="AC39" s="9">
        <v>1100</v>
      </c>
      <c r="AD39" s="7">
        <f t="shared" si="8"/>
        <v>1</v>
      </c>
      <c r="AE39" s="67">
        <f>AG39*C39*E39</f>
        <v>113586.77486966627</v>
      </c>
      <c r="AF39" s="67">
        <v>207.7</v>
      </c>
      <c r="AG39" s="48">
        <f>0.591*SQRT(V39)</f>
        <v>2.9013224743209776</v>
      </c>
      <c r="AH39" s="45">
        <f t="shared" si="9"/>
        <v>0.59099999999999997</v>
      </c>
      <c r="AI39" s="45">
        <f t="shared" si="10"/>
        <v>1.0044392027033802</v>
      </c>
      <c r="AJ39" s="27">
        <f t="shared" si="0"/>
        <v>113.58677486966627</v>
      </c>
      <c r="AK39" s="21">
        <f t="shared" si="11"/>
        <v>1.125</v>
      </c>
      <c r="AL39" s="69">
        <f t="shared" si="1"/>
        <v>1.0125</v>
      </c>
      <c r="AM39" s="27">
        <f t="shared" si="12"/>
        <v>114.59927486966627</v>
      </c>
      <c r="AN39" s="41">
        <f t="shared" si="13"/>
        <v>2.9271845432864949</v>
      </c>
      <c r="AO39" s="41">
        <f t="shared" si="14"/>
        <v>0.59626810890340542</v>
      </c>
      <c r="AP39" s="41">
        <f t="shared" si="15"/>
        <v>1.0133926631207935</v>
      </c>
      <c r="AQ39" s="21">
        <f t="shared" si="16"/>
        <v>0.44296875000000013</v>
      </c>
      <c r="AR39" s="21">
        <f t="shared" si="17"/>
        <v>102.22809738269964</v>
      </c>
      <c r="AS39" s="21">
        <f t="shared" si="18"/>
        <v>102.67106613269965</v>
      </c>
      <c r="AT39" s="41">
        <f t="shared" si="19"/>
        <v>3.43261973303566</v>
      </c>
      <c r="AU39" s="10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</row>
    <row r="40" spans="1:60" x14ac:dyDescent="0.25">
      <c r="A40" t="s">
        <v>3</v>
      </c>
      <c r="B40" s="4" t="s">
        <v>91</v>
      </c>
      <c r="C40" s="8">
        <v>310</v>
      </c>
      <c r="D40" s="8">
        <v>308</v>
      </c>
      <c r="E40" s="8">
        <v>258</v>
      </c>
      <c r="F40">
        <f>6*E40+555*2+150</f>
        <v>2808</v>
      </c>
      <c r="G40">
        <f>6*E40</f>
        <v>1548</v>
      </c>
      <c r="H40" s="8">
        <v>150</v>
      </c>
      <c r="I40" s="8">
        <v>300</v>
      </c>
      <c r="J40" s="8">
        <v>150</v>
      </c>
      <c r="K40" s="8">
        <v>300</v>
      </c>
      <c r="L40">
        <f>3*E40</f>
        <v>774</v>
      </c>
      <c r="M40">
        <f t="shared" si="2"/>
        <v>624</v>
      </c>
      <c r="N40" s="8">
        <v>3</v>
      </c>
      <c r="O40" s="8">
        <v>25</v>
      </c>
      <c r="P40" s="21">
        <f t="shared" si="3"/>
        <v>1472.6215563702156</v>
      </c>
      <c r="Q40" s="29">
        <f t="shared" si="4"/>
        <v>1.8412372547764635E-2</v>
      </c>
      <c r="R40" s="21">
        <v>404</v>
      </c>
      <c r="S40" s="47">
        <f t="shared" si="5"/>
        <v>3</v>
      </c>
      <c r="T40" s="47">
        <f t="shared" si="6"/>
        <v>2.4186046511627906</v>
      </c>
      <c r="U40" s="57">
        <v>10</v>
      </c>
      <c r="V40" s="8">
        <v>22</v>
      </c>
      <c r="W40" s="8" t="s">
        <v>456</v>
      </c>
      <c r="X40" s="7">
        <f t="shared" si="7"/>
        <v>1</v>
      </c>
      <c r="Y40" s="8">
        <v>30</v>
      </c>
      <c r="Z40" s="8">
        <v>1</v>
      </c>
      <c r="AA40" s="8">
        <v>0.5</v>
      </c>
      <c r="AB40" s="66">
        <v>55</v>
      </c>
      <c r="AC40" s="8">
        <v>1100</v>
      </c>
      <c r="AD40" s="7">
        <f t="shared" si="8"/>
        <v>0.55000000000000004</v>
      </c>
      <c r="AE40" s="66">
        <f>AJ40*1000</f>
        <v>202500</v>
      </c>
      <c r="AF40" s="66">
        <v>405</v>
      </c>
      <c r="AG40" s="41">
        <f>AM40/(C40/1000*E40/1000)*0.001</f>
        <v>2.5491063307426853</v>
      </c>
      <c r="AH40" s="45">
        <f t="shared" si="9"/>
        <v>0.54347129578096209</v>
      </c>
      <c r="AI40" s="45">
        <f t="shared" si="10"/>
        <v>0.90973253046610814</v>
      </c>
      <c r="AJ40" s="68">
        <f>AF40/2</f>
        <v>202.5</v>
      </c>
      <c r="AK40" s="21">
        <f>18.64*C40/1000*D40/1000</f>
        <v>1.7797472000000001</v>
      </c>
      <c r="AL40" s="70">
        <f>18.64*C40/1000*D40/1000*F40/1000-18.64*C40/1000*D40/1000*F40/1000*(F40/2000-(F40-G40)/2000)*1/(G40/1000)-18.64*C40/1000*D40/1000*(F40-G40)/2000</f>
        <v>1.3775243328000009</v>
      </c>
      <c r="AM40" s="68">
        <f t="shared" si="12"/>
        <v>203.87752433279999</v>
      </c>
      <c r="AN40" s="41">
        <f t="shared" si="13"/>
        <v>2.5491063307426858</v>
      </c>
      <c r="AO40" s="41">
        <f t="shared" si="14"/>
        <v>0.5434712957809622</v>
      </c>
      <c r="AP40" s="41">
        <f t="shared" si="15"/>
        <v>0.90973253046610825</v>
      </c>
      <c r="AQ40" s="21">
        <f t="shared" si="16"/>
        <v>0.17991108495360053</v>
      </c>
      <c r="AR40" s="21">
        <f t="shared" si="17"/>
        <v>156.73500000000001</v>
      </c>
      <c r="AS40" s="21">
        <f t="shared" si="18"/>
        <v>156.91491108495362</v>
      </c>
      <c r="AT40" s="41">
        <f t="shared" si="19"/>
        <v>2.9831504565154985</v>
      </c>
      <c r="AU40" s="4"/>
    </row>
    <row r="41" spans="1:60" x14ac:dyDescent="0.25">
      <c r="A41">
        <v>2015</v>
      </c>
      <c r="B41" s="4" t="s">
        <v>92</v>
      </c>
      <c r="C41" s="8">
        <v>310</v>
      </c>
      <c r="D41" s="8">
        <v>308</v>
      </c>
      <c r="E41" s="8">
        <v>258</v>
      </c>
      <c r="F41">
        <f>6*E41+555*2+150</f>
        <v>2808</v>
      </c>
      <c r="G41">
        <f>6*E41</f>
        <v>1548</v>
      </c>
      <c r="H41" s="8">
        <v>150</v>
      </c>
      <c r="I41" s="8">
        <v>300</v>
      </c>
      <c r="J41" s="8">
        <v>150</v>
      </c>
      <c r="K41" s="8">
        <v>300</v>
      </c>
      <c r="L41">
        <f>3*E41</f>
        <v>774</v>
      </c>
      <c r="M41">
        <f t="shared" si="2"/>
        <v>624</v>
      </c>
      <c r="N41" s="8">
        <v>4</v>
      </c>
      <c r="O41" s="8">
        <v>25</v>
      </c>
      <c r="P41" s="21">
        <f t="shared" si="3"/>
        <v>1963.4954084936207</v>
      </c>
      <c r="Q41" s="29">
        <f t="shared" si="4"/>
        <v>2.454983006368618E-2</v>
      </c>
      <c r="R41" s="21">
        <v>404</v>
      </c>
      <c r="S41" s="45">
        <f t="shared" si="5"/>
        <v>3</v>
      </c>
      <c r="T41" s="45">
        <f t="shared" si="6"/>
        <v>2.4186046511627906</v>
      </c>
      <c r="U41" s="57">
        <v>10</v>
      </c>
      <c r="V41" s="8">
        <v>31</v>
      </c>
      <c r="W41" s="8" t="s">
        <v>456</v>
      </c>
      <c r="X41" s="7">
        <f t="shared" si="7"/>
        <v>1</v>
      </c>
      <c r="Y41" s="8">
        <v>30</v>
      </c>
      <c r="Z41" s="8">
        <v>1</v>
      </c>
      <c r="AA41" s="8">
        <v>0.5</v>
      </c>
      <c r="AB41" s="66">
        <v>55</v>
      </c>
      <c r="AC41" s="8">
        <v>1100</v>
      </c>
      <c r="AD41" s="7">
        <f t="shared" si="8"/>
        <v>0.55000000000000004</v>
      </c>
      <c r="AE41" s="66">
        <f>AJ41*1000</f>
        <v>297500</v>
      </c>
      <c r="AF41" s="66">
        <v>595</v>
      </c>
      <c r="AG41" s="41">
        <f>AM41/(C41/1000*E41/1000)*0.001</f>
        <v>3.7371712399799946</v>
      </c>
      <c r="AH41" s="45">
        <f t="shared" si="9"/>
        <v>0.6712157692823838</v>
      </c>
      <c r="AI41" s="45">
        <f t="shared" si="10"/>
        <v>1.1896588326967166</v>
      </c>
      <c r="AJ41" s="68">
        <f>AF41/2</f>
        <v>297.5</v>
      </c>
      <c r="AK41" s="21">
        <f>18.64*C41/1000*D41/1000</f>
        <v>1.7797472000000001</v>
      </c>
      <c r="AL41" s="68">
        <f>18.93*C41/1000*D41/1000*F41/1000-18.93*C41/1000*D41/1000*F41/1000*(F41/2000-(F41-G41)/2000)*1/(G41/1000)-18.93*C41/1000*D41/1000*(F41-G41)/2000</f>
        <v>1.3989557736000007</v>
      </c>
      <c r="AM41" s="68">
        <f t="shared" si="12"/>
        <v>298.89895577359999</v>
      </c>
      <c r="AN41" s="41">
        <f t="shared" si="13"/>
        <v>3.7371712399799946</v>
      </c>
      <c r="AO41" s="41">
        <f t="shared" si="14"/>
        <v>0.6712157692823838</v>
      </c>
      <c r="AP41" s="41">
        <f t="shared" si="15"/>
        <v>1.1896588326967166</v>
      </c>
      <c r="AQ41" s="21">
        <f t="shared" si="16"/>
        <v>0.17991108495360053</v>
      </c>
      <c r="AR41" s="21">
        <f t="shared" si="17"/>
        <v>230.26499999999999</v>
      </c>
      <c r="AS41" s="21">
        <f t="shared" si="18"/>
        <v>230.44491108495359</v>
      </c>
      <c r="AT41" s="41">
        <f t="shared" si="19"/>
        <v>2.9882919044494458</v>
      </c>
      <c r="AU41" s="4"/>
    </row>
    <row r="42" spans="1:60" x14ac:dyDescent="0.25">
      <c r="A42" s="1"/>
      <c r="B42" s="10" t="s">
        <v>93</v>
      </c>
      <c r="C42" s="9">
        <v>300</v>
      </c>
      <c r="D42" s="9">
        <v>600</v>
      </c>
      <c r="E42" s="9">
        <v>550</v>
      </c>
      <c r="F42" s="1">
        <f>6*E42+555*2+150</f>
        <v>4560</v>
      </c>
      <c r="G42" s="1">
        <f>6*E42</f>
        <v>3300</v>
      </c>
      <c r="H42" s="9">
        <v>150</v>
      </c>
      <c r="I42" s="9">
        <v>300</v>
      </c>
      <c r="J42" s="9">
        <v>150</v>
      </c>
      <c r="K42" s="9">
        <v>300</v>
      </c>
      <c r="L42" s="1">
        <f>3*E42</f>
        <v>1650</v>
      </c>
      <c r="M42" s="1">
        <f t="shared" si="2"/>
        <v>1500</v>
      </c>
      <c r="N42" s="9">
        <v>4</v>
      </c>
      <c r="O42" s="9">
        <v>25</v>
      </c>
      <c r="P42" s="27">
        <f t="shared" si="3"/>
        <v>1963.4954084936207</v>
      </c>
      <c r="Q42" s="36">
        <f t="shared" si="4"/>
        <v>1.189997217268861E-2</v>
      </c>
      <c r="R42" s="27">
        <v>404</v>
      </c>
      <c r="S42" s="46">
        <f t="shared" si="5"/>
        <v>3</v>
      </c>
      <c r="T42" s="46">
        <f t="shared" si="6"/>
        <v>2.7272727272727271</v>
      </c>
      <c r="U42" s="58">
        <v>10</v>
      </c>
      <c r="V42" s="9">
        <v>30</v>
      </c>
      <c r="W42" s="9" t="s">
        <v>456</v>
      </c>
      <c r="X42" s="7">
        <f t="shared" si="7"/>
        <v>1</v>
      </c>
      <c r="Y42" s="9">
        <v>30</v>
      </c>
      <c r="Z42" s="9">
        <v>1</v>
      </c>
      <c r="AA42" s="9">
        <v>0.5</v>
      </c>
      <c r="AB42" s="67">
        <v>55</v>
      </c>
      <c r="AC42" s="9">
        <v>1100</v>
      </c>
      <c r="AD42" s="7">
        <f t="shared" si="8"/>
        <v>0.55000000000000004</v>
      </c>
      <c r="AE42" s="67">
        <f>AJ42*1000</f>
        <v>306000</v>
      </c>
      <c r="AF42" s="67">
        <v>612</v>
      </c>
      <c r="AG42" s="41">
        <f>AM42/(C42/1000*E42/1000)*0.001</f>
        <v>1.8884574545454547</v>
      </c>
      <c r="AH42" s="45">
        <f t="shared" si="9"/>
        <v>0.34478358224777744</v>
      </c>
      <c r="AI42" s="45">
        <f t="shared" si="10"/>
        <v>0.60776187521433511</v>
      </c>
      <c r="AJ42" s="69">
        <f>AF42/2</f>
        <v>306</v>
      </c>
      <c r="AK42" s="21">
        <f>18.64*C42/1000*D42/1000</f>
        <v>3.3552</v>
      </c>
      <c r="AL42" s="69">
        <f>18.84*C42/1000*D42/1000*F42/1000-18.84*C42/1000*D42/1000*F42/1000*(F42/2000-(F42-G42)/2000)*1/(G42/1000)-18.84*C42/1000*D42/1000*(F42-G42)/2000</f>
        <v>5.5954800000000002</v>
      </c>
      <c r="AM42" s="69">
        <f t="shared" si="12"/>
        <v>311.59548000000001</v>
      </c>
      <c r="AN42" s="41">
        <f t="shared" si="13"/>
        <v>1.8884574545454544</v>
      </c>
      <c r="AO42" s="41">
        <f t="shared" si="14"/>
        <v>0.34478358224777744</v>
      </c>
      <c r="AP42" s="41">
        <f t="shared" si="15"/>
        <v>0.607761875214335</v>
      </c>
      <c r="AQ42" s="21">
        <f t="shared" si="16"/>
        <v>3.9014265600000009</v>
      </c>
      <c r="AR42" s="21">
        <f t="shared" si="17"/>
        <v>504.9</v>
      </c>
      <c r="AS42" s="21">
        <f t="shared" si="18"/>
        <v>508.80142655999998</v>
      </c>
      <c r="AT42" s="41">
        <f t="shared" si="19"/>
        <v>2.9688925617161188</v>
      </c>
      <c r="AU42" s="4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 spans="1:60" x14ac:dyDescent="0.25">
      <c r="A43" t="s">
        <v>4</v>
      </c>
      <c r="B43" s="4" t="s">
        <v>94</v>
      </c>
      <c r="C43" s="8">
        <v>140</v>
      </c>
      <c r="D43" s="8">
        <v>220</v>
      </c>
      <c r="E43" s="8">
        <v>175</v>
      </c>
      <c r="F43" s="8">
        <v>2250</v>
      </c>
      <c r="G43" s="8">
        <v>2000</v>
      </c>
      <c r="H43" s="8">
        <v>100</v>
      </c>
      <c r="I43" s="8">
        <v>140</v>
      </c>
      <c r="J43" s="8">
        <v>100</v>
      </c>
      <c r="K43" s="8">
        <v>140</v>
      </c>
      <c r="L43">
        <f>1.5*E43</f>
        <v>262.5</v>
      </c>
      <c r="M43">
        <f t="shared" si="2"/>
        <v>162.5</v>
      </c>
      <c r="N43" s="8">
        <v>4</v>
      </c>
      <c r="O43" s="8">
        <v>10</v>
      </c>
      <c r="P43" s="21">
        <f t="shared" si="3"/>
        <v>314.15926535897933</v>
      </c>
      <c r="Q43" s="29">
        <f t="shared" si="4"/>
        <v>1.282282715750936E-2</v>
      </c>
      <c r="R43" s="21">
        <v>415</v>
      </c>
      <c r="S43" s="45">
        <f t="shared" si="5"/>
        <v>1.5</v>
      </c>
      <c r="T43" s="41">
        <f t="shared" si="6"/>
        <v>0.9285714285714286</v>
      </c>
      <c r="U43" s="57">
        <v>12</v>
      </c>
      <c r="V43" s="8">
        <v>82</v>
      </c>
      <c r="W43" s="8" t="s">
        <v>456</v>
      </c>
      <c r="X43" s="7">
        <f t="shared" si="7"/>
        <v>1</v>
      </c>
      <c r="Y43" s="8">
        <v>36</v>
      </c>
      <c r="Z43" s="8">
        <v>0.5</v>
      </c>
      <c r="AA43" s="8">
        <v>0.45</v>
      </c>
      <c r="AB43" s="66">
        <v>80</v>
      </c>
      <c r="AC43" s="8">
        <v>1100</v>
      </c>
      <c r="AD43" s="7">
        <f t="shared" si="8"/>
        <v>0.4</v>
      </c>
      <c r="AE43" s="21">
        <f t="shared" ref="AE43:AE48" si="20">AG43*C43*E43</f>
        <v>117845</v>
      </c>
      <c r="AF43" s="21">
        <f t="shared" ref="AF43:AF48" si="21">AJ43*2</f>
        <v>235.69</v>
      </c>
      <c r="AG43" s="41">
        <v>4.8099999999999996</v>
      </c>
      <c r="AH43" s="45">
        <f t="shared" si="9"/>
        <v>0.53117564042001175</v>
      </c>
      <c r="AI43" s="45">
        <f t="shared" si="10"/>
        <v>1.1071516855938517</v>
      </c>
      <c r="AJ43" s="21">
        <f t="shared" ref="AJ43:AJ48" si="22">AE43/1000</f>
        <v>117.845</v>
      </c>
      <c r="AK43" s="21">
        <f t="shared" si="11"/>
        <v>0.77</v>
      </c>
      <c r="AL43" s="68">
        <f t="shared" ref="AL43:AL106" si="23">25*C43/1000*D43/1000*F43/1000-25*C43/1000*D43/1000*F43/1000*(F43/2000-(F43-G43)/2000)*1/(G43/1000)-25*C43/1000*D43/1000*(F43-G43)/2000</f>
        <v>0.77</v>
      </c>
      <c r="AM43" s="21">
        <f>AJ43+AL43</f>
        <v>118.61499999999999</v>
      </c>
      <c r="AN43" s="41">
        <f t="shared" si="13"/>
        <v>4.8414285714285716</v>
      </c>
      <c r="AO43" s="41">
        <f t="shared" si="14"/>
        <v>0.53464634552522128</v>
      </c>
      <c r="AP43" s="41">
        <f t="shared" si="15"/>
        <v>1.1143858219416583</v>
      </c>
      <c r="AQ43" s="21">
        <f t="shared" si="16"/>
        <v>0.16958046874999999</v>
      </c>
      <c r="AR43" s="21">
        <f t="shared" si="17"/>
        <v>30.934312500000001</v>
      </c>
      <c r="AS43" s="21">
        <f t="shared" si="18"/>
        <v>31.103892968749999</v>
      </c>
      <c r="AT43" s="41">
        <f t="shared" si="19"/>
        <v>1.4984321649875647</v>
      </c>
      <c r="AU43" s="4"/>
      <c r="BG43" s="19"/>
      <c r="BH43" s="19"/>
    </row>
    <row r="44" spans="1:60" x14ac:dyDescent="0.25">
      <c r="A44">
        <v>2017</v>
      </c>
      <c r="B44" s="4" t="s">
        <v>95</v>
      </c>
      <c r="C44" s="8">
        <v>140</v>
      </c>
      <c r="D44" s="8">
        <v>220</v>
      </c>
      <c r="E44" s="8">
        <v>175</v>
      </c>
      <c r="F44" s="8">
        <v>2250</v>
      </c>
      <c r="G44" s="8">
        <v>2000</v>
      </c>
      <c r="H44" s="8">
        <v>100</v>
      </c>
      <c r="I44" s="8">
        <v>140</v>
      </c>
      <c r="J44" s="8">
        <v>100</v>
      </c>
      <c r="K44" s="8">
        <v>140</v>
      </c>
      <c r="L44">
        <f>1.5*E44</f>
        <v>262.5</v>
      </c>
      <c r="M44">
        <f t="shared" si="2"/>
        <v>162.5</v>
      </c>
      <c r="N44" s="8">
        <v>4</v>
      </c>
      <c r="O44" s="8">
        <v>10</v>
      </c>
      <c r="P44" s="21">
        <f t="shared" si="3"/>
        <v>314.15926535897933</v>
      </c>
      <c r="Q44" s="29">
        <f t="shared" si="4"/>
        <v>1.282282715750936E-2</v>
      </c>
      <c r="R44" s="21">
        <v>415</v>
      </c>
      <c r="S44" s="45">
        <f t="shared" si="5"/>
        <v>1.5</v>
      </c>
      <c r="T44" s="41">
        <f t="shared" si="6"/>
        <v>0.9285714285714286</v>
      </c>
      <c r="U44" s="57">
        <v>12</v>
      </c>
      <c r="V44" s="8">
        <v>83.2</v>
      </c>
      <c r="W44" s="8" t="s">
        <v>456</v>
      </c>
      <c r="X44" s="7">
        <f t="shared" si="7"/>
        <v>1</v>
      </c>
      <c r="Y44" s="8">
        <v>36</v>
      </c>
      <c r="Z44" s="8">
        <v>1</v>
      </c>
      <c r="AA44" s="8">
        <v>0.45</v>
      </c>
      <c r="AB44" s="66">
        <v>80</v>
      </c>
      <c r="AC44">
        <v>1100</v>
      </c>
      <c r="AD44" s="7">
        <f t="shared" si="8"/>
        <v>0.8</v>
      </c>
      <c r="AE44" s="21">
        <f t="shared" si="20"/>
        <v>154840</v>
      </c>
      <c r="AF44" s="21">
        <f t="shared" si="21"/>
        <v>309.68</v>
      </c>
      <c r="AG44" s="41">
        <v>6.32</v>
      </c>
      <c r="AH44" s="45">
        <f t="shared" si="9"/>
        <v>0.69287583525255303</v>
      </c>
      <c r="AI44" s="45">
        <f t="shared" si="10"/>
        <v>1.447691316777203</v>
      </c>
      <c r="AJ44" s="21">
        <f t="shared" si="22"/>
        <v>154.84</v>
      </c>
      <c r="AK44" s="21">
        <f t="shared" si="11"/>
        <v>0.77</v>
      </c>
      <c r="AL44" s="68">
        <f t="shared" si="23"/>
        <v>0.77</v>
      </c>
      <c r="AM44" s="21">
        <f t="shared" ref="AM44:AM57" si="24">AJ44+AL44</f>
        <v>155.61000000000001</v>
      </c>
      <c r="AN44" s="41">
        <f t="shared" si="13"/>
        <v>6.3514285714285714</v>
      </c>
      <c r="AO44" s="41">
        <f t="shared" si="14"/>
        <v>0.69632142032840205</v>
      </c>
      <c r="AP44" s="41">
        <f t="shared" si="15"/>
        <v>1.4548905050613572</v>
      </c>
      <c r="AQ44" s="21">
        <f t="shared" si="16"/>
        <v>0.16958046874999999</v>
      </c>
      <c r="AR44" s="21">
        <f t="shared" si="17"/>
        <v>40.645499999999998</v>
      </c>
      <c r="AS44" s="21">
        <f t="shared" si="18"/>
        <v>40.815080468749997</v>
      </c>
      <c r="AT44" s="41">
        <f t="shared" si="19"/>
        <v>1.4988049048904308</v>
      </c>
      <c r="AU44" s="4"/>
    </row>
    <row r="45" spans="1:60" x14ac:dyDescent="0.25">
      <c r="B45" s="4" t="s">
        <v>96</v>
      </c>
      <c r="C45" s="8">
        <v>140</v>
      </c>
      <c r="D45" s="8">
        <v>220</v>
      </c>
      <c r="E45" s="8">
        <v>175</v>
      </c>
      <c r="F45" s="8">
        <v>2250</v>
      </c>
      <c r="G45" s="8">
        <v>2000</v>
      </c>
      <c r="H45" s="8">
        <v>100</v>
      </c>
      <c r="I45" s="8">
        <v>140</v>
      </c>
      <c r="J45" s="8">
        <v>100</v>
      </c>
      <c r="K45" s="8">
        <v>140</v>
      </c>
      <c r="L45">
        <f>1.5*E45</f>
        <v>262.5</v>
      </c>
      <c r="M45">
        <f t="shared" si="2"/>
        <v>162.5</v>
      </c>
      <c r="N45" s="8">
        <v>4</v>
      </c>
      <c r="O45" s="8">
        <v>10</v>
      </c>
      <c r="P45" s="21">
        <f t="shared" si="3"/>
        <v>314.15926535897933</v>
      </c>
      <c r="Q45" s="29">
        <f t="shared" si="4"/>
        <v>1.282282715750936E-2</v>
      </c>
      <c r="R45" s="21">
        <v>415</v>
      </c>
      <c r="S45" s="45">
        <f t="shared" si="5"/>
        <v>1.5</v>
      </c>
      <c r="T45" s="41">
        <f t="shared" si="6"/>
        <v>0.9285714285714286</v>
      </c>
      <c r="U45" s="57">
        <v>12</v>
      </c>
      <c r="V45" s="8">
        <v>83.8</v>
      </c>
      <c r="W45" s="8" t="s">
        <v>456</v>
      </c>
      <c r="X45" s="7">
        <f t="shared" si="7"/>
        <v>1</v>
      </c>
      <c r="Y45" s="8">
        <v>36</v>
      </c>
      <c r="Z45" s="8">
        <v>1.5</v>
      </c>
      <c r="AA45" s="8">
        <v>0.45</v>
      </c>
      <c r="AB45" s="66">
        <v>80</v>
      </c>
      <c r="AC45">
        <v>1100</v>
      </c>
      <c r="AD45" s="7">
        <f t="shared" si="8"/>
        <v>1.2</v>
      </c>
      <c r="AE45" s="21">
        <f t="shared" si="20"/>
        <v>186445.00000000003</v>
      </c>
      <c r="AF45" s="21">
        <f t="shared" si="21"/>
        <v>372.89000000000004</v>
      </c>
      <c r="AG45" s="41">
        <v>7.61</v>
      </c>
      <c r="AH45" s="45">
        <f t="shared" si="9"/>
        <v>0.83130931607772407</v>
      </c>
      <c r="AI45" s="45">
        <f t="shared" si="10"/>
        <v>1.7390149566331055</v>
      </c>
      <c r="AJ45" s="21">
        <f t="shared" si="22"/>
        <v>186.44500000000002</v>
      </c>
      <c r="AK45" s="21">
        <f t="shared" si="11"/>
        <v>0.77</v>
      </c>
      <c r="AL45" s="68">
        <f t="shared" si="23"/>
        <v>0.77</v>
      </c>
      <c r="AM45" s="21">
        <f t="shared" si="24"/>
        <v>187.21500000000003</v>
      </c>
      <c r="AN45" s="41">
        <f t="shared" si="13"/>
        <v>7.6414285714285723</v>
      </c>
      <c r="AO45" s="41">
        <f t="shared" si="14"/>
        <v>0.83474254396466052</v>
      </c>
      <c r="AP45" s="41">
        <f t="shared" si="15"/>
        <v>1.7461969219129869</v>
      </c>
      <c r="AQ45" s="21">
        <f t="shared" si="16"/>
        <v>0.16958046874999999</v>
      </c>
      <c r="AR45" s="21">
        <f t="shared" si="17"/>
        <v>48.941812500000005</v>
      </c>
      <c r="AS45" s="21">
        <f t="shared" si="18"/>
        <v>49.111392968750003</v>
      </c>
      <c r="AT45" s="41">
        <f t="shared" si="19"/>
        <v>1.4990066567849796</v>
      </c>
      <c r="AU45" s="4"/>
    </row>
    <row r="46" spans="1:60" x14ac:dyDescent="0.25">
      <c r="B46" s="4" t="s">
        <v>97</v>
      </c>
      <c r="C46" s="8">
        <v>140</v>
      </c>
      <c r="D46" s="8">
        <v>220</v>
      </c>
      <c r="E46" s="8">
        <v>175</v>
      </c>
      <c r="F46" s="8">
        <v>2250</v>
      </c>
      <c r="G46" s="8">
        <v>2000</v>
      </c>
      <c r="H46" s="8">
        <v>100</v>
      </c>
      <c r="I46" s="8">
        <v>140</v>
      </c>
      <c r="J46" s="8">
        <v>100</v>
      </c>
      <c r="K46" s="8">
        <v>140</v>
      </c>
      <c r="L46">
        <f>2.5*E46</f>
        <v>437.5</v>
      </c>
      <c r="M46">
        <f t="shared" si="2"/>
        <v>337.5</v>
      </c>
      <c r="N46" s="8">
        <v>4</v>
      </c>
      <c r="O46" s="8">
        <v>10</v>
      </c>
      <c r="P46" s="21">
        <f t="shared" si="3"/>
        <v>314.15926535897933</v>
      </c>
      <c r="Q46" s="29">
        <f t="shared" si="4"/>
        <v>1.282282715750936E-2</v>
      </c>
      <c r="R46" s="21">
        <v>415</v>
      </c>
      <c r="S46" s="45">
        <f t="shared" si="5"/>
        <v>2.5</v>
      </c>
      <c r="T46" s="41">
        <f t="shared" si="6"/>
        <v>1.9285714285714286</v>
      </c>
      <c r="U46" s="57">
        <v>12</v>
      </c>
      <c r="V46" s="8">
        <v>82</v>
      </c>
      <c r="W46" s="8" t="s">
        <v>456</v>
      </c>
      <c r="X46" s="7">
        <f t="shared" si="7"/>
        <v>1</v>
      </c>
      <c r="Y46" s="8">
        <v>36</v>
      </c>
      <c r="Z46" s="8">
        <v>0.5</v>
      </c>
      <c r="AA46" s="8">
        <v>0.45</v>
      </c>
      <c r="AB46" s="66">
        <v>80</v>
      </c>
      <c r="AC46">
        <v>1100</v>
      </c>
      <c r="AD46" s="7">
        <f t="shared" si="8"/>
        <v>0.4</v>
      </c>
      <c r="AE46" s="21">
        <f t="shared" si="20"/>
        <v>62720.000000000007</v>
      </c>
      <c r="AF46" s="21">
        <f t="shared" si="21"/>
        <v>125.44000000000001</v>
      </c>
      <c r="AG46" s="41">
        <v>2.56</v>
      </c>
      <c r="AH46" s="45">
        <f t="shared" si="9"/>
        <v>0.28270470675160714</v>
      </c>
      <c r="AI46" s="45">
        <f t="shared" si="10"/>
        <v>0.58925328796679011</v>
      </c>
      <c r="AJ46" s="21">
        <f t="shared" si="22"/>
        <v>62.720000000000006</v>
      </c>
      <c r="AK46" s="21">
        <f t="shared" si="11"/>
        <v>0.77</v>
      </c>
      <c r="AL46" s="68">
        <f t="shared" si="23"/>
        <v>0.77</v>
      </c>
      <c r="AM46" s="21">
        <f t="shared" si="24"/>
        <v>63.490000000000009</v>
      </c>
      <c r="AN46" s="41">
        <f t="shared" si="13"/>
        <v>2.5914285714285716</v>
      </c>
      <c r="AO46" s="41">
        <f t="shared" si="14"/>
        <v>0.28617541185681661</v>
      </c>
      <c r="AP46" s="41">
        <f t="shared" si="15"/>
        <v>0.59648742431459667</v>
      </c>
      <c r="AQ46" s="21">
        <f t="shared" si="16"/>
        <v>0.25716796874999998</v>
      </c>
      <c r="AR46" s="21">
        <f t="shared" si="17"/>
        <v>27.440000000000005</v>
      </c>
      <c r="AS46" s="21">
        <f t="shared" si="18"/>
        <v>27.697167968750005</v>
      </c>
      <c r="AT46" s="41">
        <f t="shared" si="19"/>
        <v>2.4928261340368563</v>
      </c>
      <c r="AU46" s="4"/>
    </row>
    <row r="47" spans="1:60" x14ac:dyDescent="0.25">
      <c r="B47" s="4" t="s">
        <v>98</v>
      </c>
      <c r="C47" s="8">
        <v>140</v>
      </c>
      <c r="D47" s="8">
        <v>220</v>
      </c>
      <c r="E47" s="8">
        <v>175</v>
      </c>
      <c r="F47" s="8">
        <v>2250</v>
      </c>
      <c r="G47" s="8">
        <v>2000</v>
      </c>
      <c r="H47" s="8">
        <v>100</v>
      </c>
      <c r="I47" s="8">
        <v>140</v>
      </c>
      <c r="J47" s="8">
        <v>100</v>
      </c>
      <c r="K47" s="8">
        <v>140</v>
      </c>
      <c r="L47">
        <f>2.5*E47</f>
        <v>437.5</v>
      </c>
      <c r="M47">
        <f t="shared" si="2"/>
        <v>337.5</v>
      </c>
      <c r="N47" s="8">
        <v>4</v>
      </c>
      <c r="O47" s="8">
        <v>10</v>
      </c>
      <c r="P47" s="21">
        <f t="shared" si="3"/>
        <v>314.15926535897933</v>
      </c>
      <c r="Q47" s="29">
        <f t="shared" si="4"/>
        <v>1.282282715750936E-2</v>
      </c>
      <c r="R47" s="21">
        <v>415</v>
      </c>
      <c r="S47" s="45">
        <f t="shared" si="5"/>
        <v>2.5</v>
      </c>
      <c r="T47" s="41">
        <f t="shared" si="6"/>
        <v>1.9285714285714286</v>
      </c>
      <c r="U47" s="57">
        <v>12</v>
      </c>
      <c r="V47" s="8">
        <v>83.2</v>
      </c>
      <c r="W47" s="8" t="s">
        <v>456</v>
      </c>
      <c r="X47" s="7">
        <f t="shared" si="7"/>
        <v>1</v>
      </c>
      <c r="Y47" s="8">
        <v>36</v>
      </c>
      <c r="Z47" s="8">
        <v>1</v>
      </c>
      <c r="AA47" s="8">
        <v>0.45</v>
      </c>
      <c r="AB47" s="66">
        <v>80</v>
      </c>
      <c r="AC47">
        <v>1100</v>
      </c>
      <c r="AD47" s="7">
        <f t="shared" si="8"/>
        <v>0.8</v>
      </c>
      <c r="AE47" s="21">
        <f t="shared" si="20"/>
        <v>79380</v>
      </c>
      <c r="AF47" s="21">
        <f t="shared" si="21"/>
        <v>158.76</v>
      </c>
      <c r="AG47" s="41">
        <v>3.24</v>
      </c>
      <c r="AH47" s="45">
        <f t="shared" si="9"/>
        <v>0.35520849781934682</v>
      </c>
      <c r="AI47" s="45">
        <f t="shared" si="10"/>
        <v>0.74217086493008511</v>
      </c>
      <c r="AJ47" s="21">
        <f t="shared" si="22"/>
        <v>79.38</v>
      </c>
      <c r="AK47" s="21">
        <f t="shared" si="11"/>
        <v>0.77</v>
      </c>
      <c r="AL47" s="68">
        <f t="shared" si="23"/>
        <v>0.77</v>
      </c>
      <c r="AM47" s="21">
        <f t="shared" si="24"/>
        <v>80.149999999999991</v>
      </c>
      <c r="AN47" s="41">
        <f t="shared" si="13"/>
        <v>3.2714285714285709</v>
      </c>
      <c r="AO47" s="41">
        <f t="shared" si="14"/>
        <v>0.35865408289519579</v>
      </c>
      <c r="AP47" s="41">
        <f t="shared" si="15"/>
        <v>0.74937005321423922</v>
      </c>
      <c r="AQ47" s="21">
        <f t="shared" si="16"/>
        <v>0.25716796874999998</v>
      </c>
      <c r="AR47" s="21">
        <f t="shared" si="17"/>
        <v>34.728749999999998</v>
      </c>
      <c r="AS47" s="21">
        <f t="shared" si="18"/>
        <v>34.985917968749995</v>
      </c>
      <c r="AT47" s="41">
        <f t="shared" si="19"/>
        <v>2.4943172956955708</v>
      </c>
      <c r="AU47" s="4"/>
    </row>
    <row r="48" spans="1:60" x14ac:dyDescent="0.25">
      <c r="A48" s="1"/>
      <c r="B48" s="10" t="s">
        <v>99</v>
      </c>
      <c r="C48" s="9">
        <v>140</v>
      </c>
      <c r="D48" s="9">
        <v>220</v>
      </c>
      <c r="E48" s="9">
        <v>175</v>
      </c>
      <c r="F48" s="9">
        <v>2250</v>
      </c>
      <c r="G48" s="9">
        <v>2000</v>
      </c>
      <c r="H48" s="9">
        <v>100</v>
      </c>
      <c r="I48" s="9">
        <v>140</v>
      </c>
      <c r="J48" s="9">
        <v>100</v>
      </c>
      <c r="K48" s="9">
        <v>140</v>
      </c>
      <c r="L48" s="1">
        <f>2.5*E48</f>
        <v>437.5</v>
      </c>
      <c r="M48" s="1">
        <f t="shared" si="2"/>
        <v>337.5</v>
      </c>
      <c r="N48" s="9">
        <v>4</v>
      </c>
      <c r="O48" s="9">
        <v>10</v>
      </c>
      <c r="P48" s="27">
        <f t="shared" si="3"/>
        <v>314.15926535897933</v>
      </c>
      <c r="Q48" s="36">
        <f t="shared" si="4"/>
        <v>1.282282715750936E-2</v>
      </c>
      <c r="R48" s="27">
        <v>415</v>
      </c>
      <c r="S48" s="46">
        <f t="shared" si="5"/>
        <v>2.5</v>
      </c>
      <c r="T48" s="48">
        <f t="shared" si="6"/>
        <v>1.9285714285714286</v>
      </c>
      <c r="U48" s="58">
        <v>12</v>
      </c>
      <c r="V48" s="9">
        <v>83.8</v>
      </c>
      <c r="W48" s="9" t="s">
        <v>456</v>
      </c>
      <c r="X48" s="7">
        <f t="shared" si="7"/>
        <v>1</v>
      </c>
      <c r="Y48" s="9">
        <v>36</v>
      </c>
      <c r="Z48" s="9">
        <v>1.5</v>
      </c>
      <c r="AA48" s="9">
        <v>0.45</v>
      </c>
      <c r="AB48" s="67">
        <v>80</v>
      </c>
      <c r="AC48" s="1">
        <v>1100</v>
      </c>
      <c r="AD48" s="7">
        <f t="shared" si="8"/>
        <v>1.2</v>
      </c>
      <c r="AE48" s="27">
        <f t="shared" si="20"/>
        <v>134995</v>
      </c>
      <c r="AF48" s="27">
        <f t="shared" si="21"/>
        <v>269.99</v>
      </c>
      <c r="AG48" s="48">
        <v>5.51</v>
      </c>
      <c r="AH48" s="45">
        <f t="shared" si="9"/>
        <v>0.60190727090515894</v>
      </c>
      <c r="AI48" s="45">
        <f t="shared" si="10"/>
        <v>1.2591290947501195</v>
      </c>
      <c r="AJ48" s="27">
        <f t="shared" si="22"/>
        <v>134.995</v>
      </c>
      <c r="AK48" s="21">
        <f t="shared" si="11"/>
        <v>0.77</v>
      </c>
      <c r="AL48" s="69">
        <f t="shared" si="23"/>
        <v>0.77</v>
      </c>
      <c r="AM48" s="27">
        <f t="shared" si="24"/>
        <v>135.76500000000001</v>
      </c>
      <c r="AN48" s="41">
        <f t="shared" si="13"/>
        <v>5.5414285714285727</v>
      </c>
      <c r="AO48" s="41">
        <f t="shared" si="14"/>
        <v>0.60534049879209539</v>
      </c>
      <c r="AP48" s="41">
        <f t="shared" si="15"/>
        <v>1.2663110600300014</v>
      </c>
      <c r="AQ48" s="21">
        <f t="shared" si="16"/>
        <v>0.25716796874999998</v>
      </c>
      <c r="AR48" s="21">
        <f t="shared" si="17"/>
        <v>59.060312500000002</v>
      </c>
      <c r="AS48" s="21">
        <f t="shared" si="18"/>
        <v>59.317480468749999</v>
      </c>
      <c r="AT48" s="41">
        <f t="shared" si="19"/>
        <v>2.4966451681213857</v>
      </c>
      <c r="AU48" s="10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1:60" x14ac:dyDescent="0.25">
      <c r="A49" t="s">
        <v>5</v>
      </c>
      <c r="B49" s="4" t="s">
        <v>100</v>
      </c>
      <c r="C49" s="8">
        <v>150</v>
      </c>
      <c r="D49" s="8">
        <v>230</v>
      </c>
      <c r="E49" s="8">
        <v>200</v>
      </c>
      <c r="F49" s="8">
        <v>1400</v>
      </c>
      <c r="G49" s="8">
        <v>1000</v>
      </c>
      <c r="H49" s="8">
        <v>100</v>
      </c>
      <c r="I49" s="8">
        <v>150</v>
      </c>
      <c r="J49" s="8">
        <v>100</v>
      </c>
      <c r="K49" s="8">
        <v>150</v>
      </c>
      <c r="L49" s="8">
        <v>500</v>
      </c>
      <c r="M49">
        <f t="shared" si="2"/>
        <v>400</v>
      </c>
      <c r="N49" s="8">
        <v>2</v>
      </c>
      <c r="O49" s="8">
        <v>16</v>
      </c>
      <c r="P49" s="21">
        <f t="shared" si="3"/>
        <v>402.12385965949352</v>
      </c>
      <c r="Q49" s="29">
        <f t="shared" si="4"/>
        <v>1.340412865531645E-2</v>
      </c>
      <c r="R49" s="21">
        <v>420</v>
      </c>
      <c r="S49" s="41">
        <f t="shared" si="5"/>
        <v>2.5</v>
      </c>
      <c r="T49" s="41">
        <f t="shared" si="6"/>
        <v>2</v>
      </c>
      <c r="U49" s="57">
        <v>22</v>
      </c>
      <c r="V49" s="8">
        <v>33.68</v>
      </c>
      <c r="W49" s="8" t="s">
        <v>456</v>
      </c>
      <c r="X49" s="7">
        <f t="shared" si="7"/>
        <v>1</v>
      </c>
      <c r="Y49" s="8">
        <v>30</v>
      </c>
      <c r="Z49" s="8">
        <v>1</v>
      </c>
      <c r="AA49" s="8">
        <v>0.55000000000000004</v>
      </c>
      <c r="AB49" s="66">
        <v>54.5</v>
      </c>
      <c r="AC49">
        <v>1100</v>
      </c>
      <c r="AD49" s="7">
        <f t="shared" si="8"/>
        <v>0.54500000000000004</v>
      </c>
      <c r="AE49" s="68">
        <f>AJ49*1000</f>
        <v>65000</v>
      </c>
      <c r="AF49" s="66">
        <v>130</v>
      </c>
      <c r="AG49" s="41">
        <f t="shared" ref="AG49:AG57" si="25">AM49/(C49*E49/1000)</f>
        <v>2.1810416666666668</v>
      </c>
      <c r="AH49" s="45">
        <f t="shared" si="9"/>
        <v>0.37581829767358865</v>
      </c>
      <c r="AI49" s="45">
        <f t="shared" si="10"/>
        <v>0.67536715339243614</v>
      </c>
      <c r="AJ49" s="68">
        <f>AF49/2</f>
        <v>65</v>
      </c>
      <c r="AK49" s="21">
        <f t="shared" si="11"/>
        <v>0.86250000000000004</v>
      </c>
      <c r="AL49" s="68">
        <f t="shared" si="23"/>
        <v>0.43125000000000013</v>
      </c>
      <c r="AM49" s="68">
        <f t="shared" si="24"/>
        <v>65.431250000000006</v>
      </c>
      <c r="AN49" s="41">
        <f t="shared" si="13"/>
        <v>2.1810416666666668</v>
      </c>
      <c r="AO49" s="41">
        <f t="shared" si="14"/>
        <v>0.37581829767358865</v>
      </c>
      <c r="AP49" s="41">
        <f t="shared" si="15"/>
        <v>0.67536715339243614</v>
      </c>
      <c r="AQ49" s="21">
        <f t="shared" si="16"/>
        <v>9.0562500000000018E-2</v>
      </c>
      <c r="AR49" s="21">
        <f t="shared" si="17"/>
        <v>32.5</v>
      </c>
      <c r="AS49" s="21">
        <f t="shared" si="18"/>
        <v>32.590562499999997</v>
      </c>
      <c r="AT49" s="41">
        <f t="shared" si="19"/>
        <v>2.4904432132963983</v>
      </c>
      <c r="AU49" s="4"/>
    </row>
    <row r="50" spans="1:60" x14ac:dyDescent="0.25">
      <c r="A50">
        <v>2017</v>
      </c>
      <c r="B50" s="4" t="s">
        <v>101</v>
      </c>
      <c r="C50" s="8">
        <v>150</v>
      </c>
      <c r="D50" s="8">
        <v>230</v>
      </c>
      <c r="E50" s="8">
        <v>200</v>
      </c>
      <c r="F50" s="8">
        <v>1400</v>
      </c>
      <c r="G50" s="8">
        <v>1000</v>
      </c>
      <c r="H50" s="8">
        <v>100</v>
      </c>
      <c r="I50" s="8">
        <v>150</v>
      </c>
      <c r="J50" s="8">
        <v>100</v>
      </c>
      <c r="K50" s="8">
        <v>150</v>
      </c>
      <c r="L50" s="8">
        <v>500</v>
      </c>
      <c r="M50">
        <f t="shared" si="2"/>
        <v>400</v>
      </c>
      <c r="N50" s="8">
        <v>2</v>
      </c>
      <c r="O50" s="8">
        <v>16</v>
      </c>
      <c r="P50" s="21">
        <f t="shared" si="3"/>
        <v>402.12385965949352</v>
      </c>
      <c r="Q50" s="29">
        <f t="shared" si="4"/>
        <v>1.340412865531645E-2</v>
      </c>
      <c r="R50" s="21">
        <v>420</v>
      </c>
      <c r="S50" s="41">
        <f t="shared" si="5"/>
        <v>2.5</v>
      </c>
      <c r="T50" s="41">
        <f t="shared" si="6"/>
        <v>2</v>
      </c>
      <c r="U50" s="57">
        <v>22</v>
      </c>
      <c r="V50" s="8">
        <v>24.53</v>
      </c>
      <c r="W50" s="8" t="s">
        <v>456</v>
      </c>
      <c r="X50" s="7">
        <f t="shared" si="7"/>
        <v>1</v>
      </c>
      <c r="Y50" s="8">
        <v>30</v>
      </c>
      <c r="Z50" s="8">
        <v>1</v>
      </c>
      <c r="AA50" s="8">
        <v>0.55000000000000004</v>
      </c>
      <c r="AB50" s="66">
        <v>54.5</v>
      </c>
      <c r="AC50">
        <v>1100</v>
      </c>
      <c r="AD50" s="7">
        <f t="shared" si="8"/>
        <v>0.54500000000000004</v>
      </c>
      <c r="AE50" s="68">
        <f t="shared" ref="AE50:AE113" si="26">AJ50*1000</f>
        <v>44000</v>
      </c>
      <c r="AF50" s="66">
        <v>88</v>
      </c>
      <c r="AG50" s="41">
        <f t="shared" si="25"/>
        <v>1.4810416666666666</v>
      </c>
      <c r="AH50" s="45">
        <f t="shared" si="9"/>
        <v>0.29903257647593379</v>
      </c>
      <c r="AI50" s="45">
        <f t="shared" si="10"/>
        <v>0.50972362237955615</v>
      </c>
      <c r="AJ50" s="68">
        <f t="shared" ref="AJ50:AJ57" si="27">AF50/2</f>
        <v>44</v>
      </c>
      <c r="AK50" s="21">
        <f t="shared" si="11"/>
        <v>0.86250000000000004</v>
      </c>
      <c r="AL50" s="68">
        <f t="shared" si="23"/>
        <v>0.43125000000000013</v>
      </c>
      <c r="AM50" s="68">
        <f t="shared" si="24"/>
        <v>44.431249999999999</v>
      </c>
      <c r="AN50" s="41">
        <f t="shared" si="13"/>
        <v>1.4810416666666666</v>
      </c>
      <c r="AO50" s="41">
        <f t="shared" si="14"/>
        <v>0.29903257647593379</v>
      </c>
      <c r="AP50" s="41">
        <f t="shared" si="15"/>
        <v>0.50972362237955615</v>
      </c>
      <c r="AQ50" s="21">
        <f t="shared" si="16"/>
        <v>9.0562500000000018E-2</v>
      </c>
      <c r="AR50" s="21">
        <f t="shared" si="17"/>
        <v>22</v>
      </c>
      <c r="AS50" s="21">
        <f t="shared" si="18"/>
        <v>22.090562500000001</v>
      </c>
      <c r="AT50" s="41">
        <f t="shared" si="19"/>
        <v>2.485926290617527</v>
      </c>
      <c r="AU50" s="4"/>
    </row>
    <row r="51" spans="1:60" x14ac:dyDescent="0.25">
      <c r="B51" s="4" t="s">
        <v>102</v>
      </c>
      <c r="C51" s="8">
        <v>150</v>
      </c>
      <c r="D51" s="8">
        <v>230</v>
      </c>
      <c r="E51" s="8">
        <v>200</v>
      </c>
      <c r="F51" s="8">
        <v>1400</v>
      </c>
      <c r="G51" s="8">
        <v>1000</v>
      </c>
      <c r="H51" s="8">
        <v>100</v>
      </c>
      <c r="I51" s="8">
        <v>150</v>
      </c>
      <c r="J51" s="8">
        <v>100</v>
      </c>
      <c r="K51" s="8">
        <v>150</v>
      </c>
      <c r="L51" s="8">
        <v>500</v>
      </c>
      <c r="M51">
        <f t="shared" si="2"/>
        <v>400</v>
      </c>
      <c r="N51" s="8">
        <v>2</v>
      </c>
      <c r="O51" s="8">
        <v>16</v>
      </c>
      <c r="P51" s="21">
        <f t="shared" si="3"/>
        <v>402.12385965949352</v>
      </c>
      <c r="Q51" s="29">
        <f t="shared" si="4"/>
        <v>1.340412865531645E-2</v>
      </c>
      <c r="R51" s="21">
        <v>420</v>
      </c>
      <c r="S51" s="41">
        <f t="shared" si="5"/>
        <v>2.5</v>
      </c>
      <c r="T51" s="41">
        <f t="shared" si="6"/>
        <v>2</v>
      </c>
      <c r="U51" s="57">
        <v>22</v>
      </c>
      <c r="V51" s="8">
        <v>21.43</v>
      </c>
      <c r="W51" s="8" t="s">
        <v>456</v>
      </c>
      <c r="X51" s="7">
        <f t="shared" si="7"/>
        <v>1</v>
      </c>
      <c r="Y51" s="8">
        <v>30</v>
      </c>
      <c r="Z51" s="8">
        <v>2</v>
      </c>
      <c r="AA51" s="8">
        <v>0.55000000000000004</v>
      </c>
      <c r="AB51" s="66">
        <v>54.5</v>
      </c>
      <c r="AC51">
        <v>1100</v>
      </c>
      <c r="AD51" s="7">
        <f t="shared" si="8"/>
        <v>1.0900000000000001</v>
      </c>
      <c r="AE51" s="68">
        <f t="shared" si="26"/>
        <v>50000</v>
      </c>
      <c r="AF51" s="66">
        <v>100</v>
      </c>
      <c r="AG51" s="41">
        <f t="shared" si="25"/>
        <v>1.6810416666666665</v>
      </c>
      <c r="AH51" s="45">
        <f t="shared" si="9"/>
        <v>0.36313440055125107</v>
      </c>
      <c r="AI51" s="45">
        <f t="shared" si="10"/>
        <v>0.60520766683833971</v>
      </c>
      <c r="AJ51" s="68">
        <f t="shared" si="27"/>
        <v>50</v>
      </c>
      <c r="AK51" s="21">
        <f t="shared" si="11"/>
        <v>0.86250000000000004</v>
      </c>
      <c r="AL51" s="68">
        <f t="shared" si="23"/>
        <v>0.43125000000000013</v>
      </c>
      <c r="AM51" s="68">
        <f t="shared" si="24"/>
        <v>50.431249999999999</v>
      </c>
      <c r="AN51" s="41">
        <f t="shared" si="13"/>
        <v>1.6810416666666668</v>
      </c>
      <c r="AO51" s="41">
        <f t="shared" si="14"/>
        <v>0.36313440055125112</v>
      </c>
      <c r="AP51" s="41">
        <f t="shared" si="15"/>
        <v>0.60520766683833982</v>
      </c>
      <c r="AQ51" s="21">
        <f t="shared" si="16"/>
        <v>9.0562500000000018E-2</v>
      </c>
      <c r="AR51" s="21">
        <f t="shared" si="17"/>
        <v>25</v>
      </c>
      <c r="AS51" s="21">
        <f t="shared" si="18"/>
        <v>25.090562500000001</v>
      </c>
      <c r="AT51" s="41">
        <f t="shared" si="19"/>
        <v>2.4876006940141284</v>
      </c>
      <c r="AU51" s="4"/>
    </row>
    <row r="52" spans="1:60" x14ac:dyDescent="0.25">
      <c r="B52" s="4" t="s">
        <v>103</v>
      </c>
      <c r="C52" s="8">
        <v>150</v>
      </c>
      <c r="D52" s="8">
        <v>230</v>
      </c>
      <c r="E52" s="8">
        <v>200</v>
      </c>
      <c r="F52" s="8">
        <v>1400</v>
      </c>
      <c r="G52" s="8">
        <v>1000</v>
      </c>
      <c r="H52" s="8">
        <v>100</v>
      </c>
      <c r="I52" s="8">
        <v>150</v>
      </c>
      <c r="J52" s="8">
        <v>100</v>
      </c>
      <c r="K52" s="8">
        <v>150</v>
      </c>
      <c r="L52" s="8">
        <v>500</v>
      </c>
      <c r="M52">
        <f t="shared" si="2"/>
        <v>400</v>
      </c>
      <c r="N52" s="8">
        <v>2</v>
      </c>
      <c r="O52" s="8">
        <v>16</v>
      </c>
      <c r="P52" s="21">
        <f t="shared" si="3"/>
        <v>402.12385965949352</v>
      </c>
      <c r="Q52" s="29">
        <f t="shared" si="4"/>
        <v>1.340412865531645E-2</v>
      </c>
      <c r="R52" s="21">
        <v>420</v>
      </c>
      <c r="S52" s="41">
        <f t="shared" si="5"/>
        <v>2.5</v>
      </c>
      <c r="T52" s="41">
        <f t="shared" si="6"/>
        <v>2</v>
      </c>
      <c r="U52" s="57">
        <v>12</v>
      </c>
      <c r="V52" s="8">
        <v>9.77</v>
      </c>
      <c r="W52" s="8" t="s">
        <v>456</v>
      </c>
      <c r="X52" s="7">
        <f t="shared" si="7"/>
        <v>1</v>
      </c>
      <c r="Y52" s="8">
        <v>30</v>
      </c>
      <c r="Z52" s="8">
        <v>3</v>
      </c>
      <c r="AA52" s="8">
        <v>0.55000000000000004</v>
      </c>
      <c r="AB52" s="66">
        <v>54.5</v>
      </c>
      <c r="AC52">
        <v>1100</v>
      </c>
      <c r="AD52" s="7">
        <f t="shared" si="8"/>
        <v>1.635</v>
      </c>
      <c r="AE52" s="68">
        <f t="shared" si="26"/>
        <v>39000</v>
      </c>
      <c r="AF52" s="66">
        <v>78</v>
      </c>
      <c r="AG52" s="41">
        <f t="shared" si="25"/>
        <v>1.3143749999999998</v>
      </c>
      <c r="AH52" s="45">
        <f t="shared" si="9"/>
        <v>0.42050581724422476</v>
      </c>
      <c r="AI52" s="45">
        <f t="shared" si="10"/>
        <v>0.61482912957036784</v>
      </c>
      <c r="AJ52" s="68">
        <f t="shared" si="27"/>
        <v>39</v>
      </c>
      <c r="AK52" s="21">
        <f t="shared" si="11"/>
        <v>0.86250000000000004</v>
      </c>
      <c r="AL52" s="68">
        <f t="shared" si="23"/>
        <v>0.43125000000000013</v>
      </c>
      <c r="AM52" s="68">
        <f t="shared" si="24"/>
        <v>39.431249999999999</v>
      </c>
      <c r="AN52" s="41">
        <f t="shared" si="13"/>
        <v>1.3143750000000001</v>
      </c>
      <c r="AO52" s="41">
        <f t="shared" si="14"/>
        <v>0.42050581724422481</v>
      </c>
      <c r="AP52" s="41">
        <f t="shared" si="15"/>
        <v>0.61482912957036795</v>
      </c>
      <c r="AQ52" s="21">
        <f t="shared" si="16"/>
        <v>9.0562500000000018E-2</v>
      </c>
      <c r="AR52" s="21">
        <f t="shared" si="17"/>
        <v>19.5</v>
      </c>
      <c r="AS52" s="21">
        <f t="shared" si="18"/>
        <v>19.590562500000001</v>
      </c>
      <c r="AT52" s="41">
        <f t="shared" si="19"/>
        <v>2.4841417023300045</v>
      </c>
      <c r="AU52" s="4"/>
    </row>
    <row r="53" spans="1:60" x14ac:dyDescent="0.25">
      <c r="B53" s="4" t="s">
        <v>104</v>
      </c>
      <c r="C53" s="8">
        <v>150</v>
      </c>
      <c r="D53" s="8">
        <v>230</v>
      </c>
      <c r="E53" s="8">
        <v>200</v>
      </c>
      <c r="F53" s="8">
        <v>2200</v>
      </c>
      <c r="G53" s="8">
        <v>1400</v>
      </c>
      <c r="H53" s="8">
        <v>100</v>
      </c>
      <c r="I53" s="8">
        <v>150</v>
      </c>
      <c r="J53" s="8">
        <v>100</v>
      </c>
      <c r="K53" s="8">
        <v>150</v>
      </c>
      <c r="L53" s="8">
        <v>700</v>
      </c>
      <c r="M53">
        <f t="shared" si="2"/>
        <v>600</v>
      </c>
      <c r="N53" s="8">
        <v>2</v>
      </c>
      <c r="O53" s="8">
        <v>16</v>
      </c>
      <c r="P53" s="21">
        <f t="shared" si="3"/>
        <v>402.12385965949352</v>
      </c>
      <c r="Q53" s="29">
        <f t="shared" si="4"/>
        <v>1.340412865531645E-2</v>
      </c>
      <c r="R53" s="21">
        <v>420</v>
      </c>
      <c r="S53" s="41">
        <f t="shared" si="5"/>
        <v>3.5</v>
      </c>
      <c r="T53" s="41">
        <f t="shared" si="6"/>
        <v>3</v>
      </c>
      <c r="U53" s="57">
        <v>22</v>
      </c>
      <c r="V53" s="8">
        <v>20.21</v>
      </c>
      <c r="W53" s="8" t="s">
        <v>456</v>
      </c>
      <c r="X53" s="7">
        <f t="shared" si="7"/>
        <v>1</v>
      </c>
      <c r="Y53" s="8">
        <v>30</v>
      </c>
      <c r="Z53" s="8">
        <v>1</v>
      </c>
      <c r="AA53" s="8">
        <v>0.55000000000000004</v>
      </c>
      <c r="AB53" s="66">
        <v>54.5</v>
      </c>
      <c r="AC53">
        <v>1100</v>
      </c>
      <c r="AD53" s="7">
        <f t="shared" si="8"/>
        <v>0.54500000000000004</v>
      </c>
      <c r="AE53" s="68">
        <f t="shared" si="26"/>
        <v>32500</v>
      </c>
      <c r="AF53" s="66">
        <v>65</v>
      </c>
      <c r="AG53" s="41">
        <f t="shared" si="25"/>
        <v>1.1034583333333332</v>
      </c>
      <c r="AH53" s="45">
        <f t="shared" si="9"/>
        <v>0.24545550799056909</v>
      </c>
      <c r="AI53" s="45">
        <f t="shared" si="10"/>
        <v>0.40510459345090388</v>
      </c>
      <c r="AJ53" s="68">
        <f t="shared" si="27"/>
        <v>32.5</v>
      </c>
      <c r="AK53" s="21">
        <f t="shared" si="11"/>
        <v>0.86250000000000004</v>
      </c>
      <c r="AL53" s="68">
        <f t="shared" si="23"/>
        <v>0.60374999999999979</v>
      </c>
      <c r="AM53" s="68">
        <f t="shared" si="24"/>
        <v>33.103749999999998</v>
      </c>
      <c r="AN53" s="41">
        <f t="shared" si="13"/>
        <v>1.1034583333333334</v>
      </c>
      <c r="AO53" s="41">
        <f t="shared" si="14"/>
        <v>0.24545550799056914</v>
      </c>
      <c r="AP53" s="41">
        <f t="shared" si="15"/>
        <v>0.40510459345090394</v>
      </c>
      <c r="AQ53" s="21">
        <f t="shared" si="16"/>
        <v>0.14231249999999984</v>
      </c>
      <c r="AR53" s="21">
        <f t="shared" si="17"/>
        <v>22.75</v>
      </c>
      <c r="AS53" s="21">
        <f t="shared" si="18"/>
        <v>22.892312499999999</v>
      </c>
      <c r="AT53" s="41">
        <f t="shared" si="19"/>
        <v>3.4576615187101156</v>
      </c>
      <c r="AU53" s="4"/>
    </row>
    <row r="54" spans="1:60" x14ac:dyDescent="0.25">
      <c r="B54" s="4" t="s">
        <v>105</v>
      </c>
      <c r="C54" s="8">
        <v>150</v>
      </c>
      <c r="D54" s="8">
        <v>230</v>
      </c>
      <c r="E54" s="8">
        <v>200</v>
      </c>
      <c r="F54" s="8">
        <v>2200</v>
      </c>
      <c r="G54" s="8">
        <v>1400</v>
      </c>
      <c r="H54" s="8">
        <v>100</v>
      </c>
      <c r="I54" s="8">
        <v>150</v>
      </c>
      <c r="J54" s="8">
        <v>100</v>
      </c>
      <c r="K54" s="8">
        <v>150</v>
      </c>
      <c r="L54" s="8">
        <v>700</v>
      </c>
      <c r="M54">
        <f t="shared" si="2"/>
        <v>600</v>
      </c>
      <c r="N54" s="8">
        <v>2</v>
      </c>
      <c r="O54" s="8">
        <v>16</v>
      </c>
      <c r="P54" s="21">
        <f t="shared" si="3"/>
        <v>402.12385965949352</v>
      </c>
      <c r="Q54" s="29">
        <f t="shared" si="4"/>
        <v>1.340412865531645E-2</v>
      </c>
      <c r="R54" s="21">
        <v>420</v>
      </c>
      <c r="S54" s="41">
        <f t="shared" si="5"/>
        <v>3.5</v>
      </c>
      <c r="T54" s="41">
        <f t="shared" si="6"/>
        <v>3</v>
      </c>
      <c r="U54" s="57">
        <v>22</v>
      </c>
      <c r="V54" s="8">
        <v>21.43</v>
      </c>
      <c r="W54" s="8" t="s">
        <v>456</v>
      </c>
      <c r="X54" s="7">
        <f t="shared" si="7"/>
        <v>1</v>
      </c>
      <c r="Y54" s="8">
        <v>30</v>
      </c>
      <c r="Z54" s="8">
        <v>2</v>
      </c>
      <c r="AA54" s="8">
        <v>0.55000000000000004</v>
      </c>
      <c r="AB54" s="66">
        <v>54.5</v>
      </c>
      <c r="AC54">
        <v>1100</v>
      </c>
      <c r="AD54" s="7">
        <f t="shared" si="8"/>
        <v>1.0900000000000001</v>
      </c>
      <c r="AE54" s="68">
        <f t="shared" si="26"/>
        <v>42500</v>
      </c>
      <c r="AF54" s="66">
        <v>85</v>
      </c>
      <c r="AG54" s="41">
        <f t="shared" si="25"/>
        <v>1.4367916666666667</v>
      </c>
      <c r="AH54" s="45">
        <f t="shared" si="9"/>
        <v>0.31037212874479597</v>
      </c>
      <c r="AI54" s="45">
        <f t="shared" si="10"/>
        <v>0.51727292045077378</v>
      </c>
      <c r="AJ54" s="68">
        <f t="shared" si="27"/>
        <v>42.5</v>
      </c>
      <c r="AK54" s="21">
        <f t="shared" si="11"/>
        <v>0.86250000000000004</v>
      </c>
      <c r="AL54" s="68">
        <f t="shared" si="23"/>
        <v>0.60374999999999979</v>
      </c>
      <c r="AM54" s="68">
        <f t="shared" si="24"/>
        <v>43.103749999999998</v>
      </c>
      <c r="AN54" s="41">
        <f t="shared" si="13"/>
        <v>1.4367916666666667</v>
      </c>
      <c r="AO54" s="41">
        <f t="shared" si="14"/>
        <v>0.31037212874479597</v>
      </c>
      <c r="AP54" s="41">
        <f t="shared" si="15"/>
        <v>0.51727292045077378</v>
      </c>
      <c r="AQ54" s="21">
        <f t="shared" si="16"/>
        <v>0.14231249999999984</v>
      </c>
      <c r="AR54" s="21">
        <f t="shared" si="17"/>
        <v>29.75</v>
      </c>
      <c r="AS54" s="21">
        <f t="shared" si="18"/>
        <v>29.892312499999999</v>
      </c>
      <c r="AT54" s="41">
        <f t="shared" si="19"/>
        <v>3.4674839776121571</v>
      </c>
      <c r="AU54" s="4"/>
    </row>
    <row r="55" spans="1:60" x14ac:dyDescent="0.25">
      <c r="B55" s="4" t="s">
        <v>106</v>
      </c>
      <c r="C55" s="8">
        <v>150</v>
      </c>
      <c r="D55" s="8">
        <v>230</v>
      </c>
      <c r="E55" s="8">
        <v>200</v>
      </c>
      <c r="F55" s="8">
        <v>2200</v>
      </c>
      <c r="G55" s="8">
        <v>1400</v>
      </c>
      <c r="H55" s="8">
        <v>100</v>
      </c>
      <c r="I55" s="8">
        <v>150</v>
      </c>
      <c r="J55" s="8">
        <v>100</v>
      </c>
      <c r="K55" s="8">
        <v>150</v>
      </c>
      <c r="L55" s="8">
        <v>700</v>
      </c>
      <c r="M55">
        <f t="shared" si="2"/>
        <v>600</v>
      </c>
      <c r="N55" s="8">
        <v>2</v>
      </c>
      <c r="O55" s="8">
        <v>16</v>
      </c>
      <c r="P55" s="21">
        <f t="shared" si="3"/>
        <v>402.12385965949352</v>
      </c>
      <c r="Q55" s="29">
        <f t="shared" si="4"/>
        <v>1.340412865531645E-2</v>
      </c>
      <c r="R55" s="21">
        <v>420</v>
      </c>
      <c r="S55" s="41">
        <f t="shared" si="5"/>
        <v>3.5</v>
      </c>
      <c r="T55" s="41">
        <f t="shared" si="6"/>
        <v>3</v>
      </c>
      <c r="U55" s="57">
        <v>12</v>
      </c>
      <c r="V55" s="8">
        <v>27.91</v>
      </c>
      <c r="W55" s="8" t="s">
        <v>456</v>
      </c>
      <c r="X55" s="7">
        <f t="shared" si="7"/>
        <v>1</v>
      </c>
      <c r="Y55" s="8">
        <v>30</v>
      </c>
      <c r="Z55" s="8">
        <v>3</v>
      </c>
      <c r="AA55" s="8">
        <v>0.55000000000000004</v>
      </c>
      <c r="AB55" s="66">
        <v>54.5</v>
      </c>
      <c r="AC55">
        <v>1100</v>
      </c>
      <c r="AD55" s="7">
        <f t="shared" si="8"/>
        <v>1.635</v>
      </c>
      <c r="AE55" s="68">
        <f t="shared" si="26"/>
        <v>58500</v>
      </c>
      <c r="AF55" s="66">
        <v>117</v>
      </c>
      <c r="AG55" s="41">
        <f t="shared" si="25"/>
        <v>1.9701249999999999</v>
      </c>
      <c r="AH55" s="45">
        <f t="shared" si="9"/>
        <v>0.37291844429030663</v>
      </c>
      <c r="AI55" s="45">
        <f t="shared" si="10"/>
        <v>0.64949204553710826</v>
      </c>
      <c r="AJ55" s="68">
        <f t="shared" si="27"/>
        <v>58.5</v>
      </c>
      <c r="AK55" s="21">
        <f t="shared" si="11"/>
        <v>0.86250000000000004</v>
      </c>
      <c r="AL55" s="68">
        <f t="shared" si="23"/>
        <v>0.60374999999999979</v>
      </c>
      <c r="AM55" s="68">
        <f t="shared" si="24"/>
        <v>59.103749999999998</v>
      </c>
      <c r="AN55" s="41">
        <f t="shared" si="13"/>
        <v>1.9701249999999999</v>
      </c>
      <c r="AO55" s="41">
        <f t="shared" si="14"/>
        <v>0.37291844429030663</v>
      </c>
      <c r="AP55" s="41">
        <f t="shared" si="15"/>
        <v>0.64949204553710826</v>
      </c>
      <c r="AQ55" s="21">
        <f t="shared" si="16"/>
        <v>0.14231249999999984</v>
      </c>
      <c r="AR55" s="21">
        <f t="shared" si="17"/>
        <v>40.950000000000003</v>
      </c>
      <c r="AS55" s="21">
        <f t="shared" si="18"/>
        <v>41.092312500000006</v>
      </c>
      <c r="AT55" s="41">
        <f t="shared" si="19"/>
        <v>3.4762864031470087</v>
      </c>
      <c r="AU55" s="4"/>
    </row>
    <row r="56" spans="1:60" x14ac:dyDescent="0.25">
      <c r="B56" s="4" t="s">
        <v>107</v>
      </c>
      <c r="C56" s="8">
        <v>150</v>
      </c>
      <c r="D56" s="8">
        <v>230</v>
      </c>
      <c r="E56" s="8">
        <v>200</v>
      </c>
      <c r="F56" s="8">
        <v>2200</v>
      </c>
      <c r="G56" s="8">
        <v>1800</v>
      </c>
      <c r="H56" s="8">
        <v>100</v>
      </c>
      <c r="I56" s="8">
        <v>150</v>
      </c>
      <c r="J56" s="8">
        <v>100</v>
      </c>
      <c r="K56" s="8">
        <v>150</v>
      </c>
      <c r="L56" s="8">
        <v>900</v>
      </c>
      <c r="M56">
        <f t="shared" si="2"/>
        <v>800</v>
      </c>
      <c r="N56" s="8">
        <v>2</v>
      </c>
      <c r="O56" s="8">
        <v>16</v>
      </c>
      <c r="P56" s="21">
        <f t="shared" si="3"/>
        <v>402.12385965949352</v>
      </c>
      <c r="Q56" s="29">
        <f t="shared" si="4"/>
        <v>1.340412865531645E-2</v>
      </c>
      <c r="R56" s="21">
        <v>420</v>
      </c>
      <c r="S56" s="41">
        <f t="shared" si="5"/>
        <v>4.5</v>
      </c>
      <c r="T56" s="41">
        <f t="shared" si="6"/>
        <v>4</v>
      </c>
      <c r="U56" s="57">
        <v>22</v>
      </c>
      <c r="V56" s="8">
        <v>24.53</v>
      </c>
      <c r="W56" s="8" t="s">
        <v>456</v>
      </c>
      <c r="X56" s="7">
        <f t="shared" si="7"/>
        <v>1</v>
      </c>
      <c r="Y56" s="8">
        <v>30</v>
      </c>
      <c r="Z56" s="8">
        <v>1</v>
      </c>
      <c r="AA56" s="8">
        <v>0.55000000000000004</v>
      </c>
      <c r="AB56" s="66">
        <v>54.5</v>
      </c>
      <c r="AC56">
        <v>1100</v>
      </c>
      <c r="AD56" s="7">
        <f t="shared" si="8"/>
        <v>0.54500000000000004</v>
      </c>
      <c r="AE56" s="68">
        <f t="shared" si="26"/>
        <v>42500</v>
      </c>
      <c r="AF56" s="66">
        <v>85</v>
      </c>
      <c r="AG56" s="41">
        <f t="shared" si="25"/>
        <v>1.4425416666666666</v>
      </c>
      <c r="AH56" s="45">
        <f t="shared" si="9"/>
        <v>0.29125915966164873</v>
      </c>
      <c r="AI56" s="45">
        <f t="shared" si="10"/>
        <v>0.49647324603749093</v>
      </c>
      <c r="AJ56" s="68">
        <f t="shared" si="27"/>
        <v>42.5</v>
      </c>
      <c r="AK56" s="21">
        <f t="shared" si="11"/>
        <v>0.86250000000000004</v>
      </c>
      <c r="AL56" s="68">
        <f t="shared" si="23"/>
        <v>0.77624999999999977</v>
      </c>
      <c r="AM56" s="68">
        <f t="shared" si="24"/>
        <v>43.276249999999997</v>
      </c>
      <c r="AN56" s="41">
        <f t="shared" si="13"/>
        <v>1.4425416666666666</v>
      </c>
      <c r="AO56" s="41">
        <f t="shared" si="14"/>
        <v>0.29125915966164873</v>
      </c>
      <c r="AP56" s="41">
        <f t="shared" si="15"/>
        <v>0.49647324603749093</v>
      </c>
      <c r="AQ56" s="21">
        <f t="shared" si="16"/>
        <v>0.33206249999999993</v>
      </c>
      <c r="AR56" s="21">
        <f t="shared" si="17"/>
        <v>38.25</v>
      </c>
      <c r="AS56" s="21">
        <f t="shared" si="18"/>
        <v>38.582062499999999</v>
      </c>
      <c r="AT56" s="41">
        <f t="shared" si="19"/>
        <v>4.457648537015106</v>
      </c>
      <c r="AU56" s="4"/>
    </row>
    <row r="57" spans="1:60" x14ac:dyDescent="0.25">
      <c r="A57" s="1"/>
      <c r="B57" s="10" t="s">
        <v>108</v>
      </c>
      <c r="C57" s="9">
        <v>150</v>
      </c>
      <c r="D57" s="9">
        <v>230</v>
      </c>
      <c r="E57" s="9">
        <v>200</v>
      </c>
      <c r="F57" s="9">
        <v>2200</v>
      </c>
      <c r="G57" s="9">
        <v>1800</v>
      </c>
      <c r="H57" s="9">
        <v>100</v>
      </c>
      <c r="I57" s="9">
        <v>150</v>
      </c>
      <c r="J57" s="9">
        <v>100</v>
      </c>
      <c r="K57" s="9">
        <v>150</v>
      </c>
      <c r="L57" s="9">
        <v>900</v>
      </c>
      <c r="M57" s="1">
        <f t="shared" si="2"/>
        <v>800</v>
      </c>
      <c r="N57" s="9">
        <v>2</v>
      </c>
      <c r="O57" s="9">
        <v>16</v>
      </c>
      <c r="P57" s="27">
        <f t="shared" si="3"/>
        <v>402.12385965949352</v>
      </c>
      <c r="Q57" s="36">
        <f t="shared" si="4"/>
        <v>1.340412865531645E-2</v>
      </c>
      <c r="R57" s="27">
        <v>420</v>
      </c>
      <c r="S57" s="48">
        <f t="shared" si="5"/>
        <v>4.5</v>
      </c>
      <c r="T57" s="48">
        <f t="shared" si="6"/>
        <v>4</v>
      </c>
      <c r="U57" s="58">
        <v>22</v>
      </c>
      <c r="V57" s="9">
        <v>21.43</v>
      </c>
      <c r="W57" s="9" t="s">
        <v>456</v>
      </c>
      <c r="X57" s="7">
        <f t="shared" si="7"/>
        <v>1</v>
      </c>
      <c r="Y57" s="9">
        <v>30</v>
      </c>
      <c r="Z57" s="9">
        <v>2</v>
      </c>
      <c r="AA57" s="9">
        <v>0.55000000000000004</v>
      </c>
      <c r="AB57" s="67">
        <v>54.5</v>
      </c>
      <c r="AC57" s="1">
        <v>1100</v>
      </c>
      <c r="AD57" s="7">
        <f t="shared" si="8"/>
        <v>1.0900000000000001</v>
      </c>
      <c r="AE57" s="69">
        <f t="shared" si="26"/>
        <v>35000</v>
      </c>
      <c r="AF57" s="67">
        <v>70</v>
      </c>
      <c r="AG57" s="41">
        <f t="shared" si="25"/>
        <v>1.1925416666666666</v>
      </c>
      <c r="AH57" s="45">
        <f t="shared" si="9"/>
        <v>0.25760985693834076</v>
      </c>
      <c r="AI57" s="45">
        <f t="shared" si="10"/>
        <v>0.42933817406320784</v>
      </c>
      <c r="AJ57" s="69">
        <f t="shared" si="27"/>
        <v>35</v>
      </c>
      <c r="AK57" s="21">
        <f t="shared" si="11"/>
        <v>0.86250000000000004</v>
      </c>
      <c r="AL57" s="69">
        <f t="shared" si="23"/>
        <v>0.77624999999999977</v>
      </c>
      <c r="AM57" s="69">
        <f t="shared" si="24"/>
        <v>35.776249999999997</v>
      </c>
      <c r="AN57" s="41">
        <f t="shared" si="13"/>
        <v>1.1925416666666666</v>
      </c>
      <c r="AO57" s="41">
        <f t="shared" si="14"/>
        <v>0.25760985693834076</v>
      </c>
      <c r="AP57" s="41">
        <f t="shared" si="15"/>
        <v>0.42933817406320784</v>
      </c>
      <c r="AQ57" s="21">
        <f t="shared" si="16"/>
        <v>0.33206249999999993</v>
      </c>
      <c r="AR57" s="21">
        <f t="shared" si="17"/>
        <v>31.5</v>
      </c>
      <c r="AS57" s="21">
        <f t="shared" si="18"/>
        <v>31.832062499999999</v>
      </c>
      <c r="AT57" s="41">
        <f t="shared" si="19"/>
        <v>4.4487701338178267</v>
      </c>
      <c r="AU57" s="10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1:60" x14ac:dyDescent="0.25">
      <c r="A58" t="s">
        <v>6</v>
      </c>
      <c r="B58">
        <v>11</v>
      </c>
      <c r="C58" s="8">
        <v>152</v>
      </c>
      <c r="D58">
        <f>18*25.4</f>
        <v>457.2</v>
      </c>
      <c r="E58" s="8">
        <v>381</v>
      </c>
      <c r="F58">
        <f>L58*2+150+2*100</f>
        <v>2966.2</v>
      </c>
      <c r="G58">
        <f>F58-200</f>
        <v>2766.2</v>
      </c>
      <c r="H58" s="8">
        <v>10</v>
      </c>
      <c r="I58" s="8">
        <v>152</v>
      </c>
      <c r="J58" s="8">
        <v>10</v>
      </c>
      <c r="K58">
        <f>C58</f>
        <v>152</v>
      </c>
      <c r="L58">
        <f t="shared" ref="L58:L63" si="28">51.5*25.4</f>
        <v>1308.0999999999999</v>
      </c>
      <c r="M58">
        <f t="shared" si="2"/>
        <v>1298.0999999999999</v>
      </c>
      <c r="N58" s="8">
        <v>4</v>
      </c>
      <c r="O58">
        <f>0.88*25.4</f>
        <v>22.352</v>
      </c>
      <c r="P58" s="21">
        <f t="shared" si="3"/>
        <v>1569.577087252409</v>
      </c>
      <c r="Q58" s="29">
        <f t="shared" si="4"/>
        <v>2.7102795400822093E-2</v>
      </c>
      <c r="R58" s="21">
        <v>410</v>
      </c>
      <c r="S58" s="41">
        <v>3.4</v>
      </c>
      <c r="T58" s="41">
        <f t="shared" si="6"/>
        <v>3.4070866141732279</v>
      </c>
      <c r="U58" s="57">
        <v>10</v>
      </c>
      <c r="V58" s="8">
        <v>49.2</v>
      </c>
      <c r="W58" s="8" t="s">
        <v>456</v>
      </c>
      <c r="X58" s="7">
        <f t="shared" si="7"/>
        <v>1</v>
      </c>
      <c r="Y58" s="8">
        <v>60</v>
      </c>
      <c r="Z58" s="8">
        <v>1</v>
      </c>
      <c r="AA58">
        <f>0.02*25.4</f>
        <v>0.50800000000000001</v>
      </c>
      <c r="AB58" s="66">
        <v>80</v>
      </c>
      <c r="AC58">
        <v>1100</v>
      </c>
      <c r="AD58" s="7">
        <f t="shared" si="8"/>
        <v>0.8</v>
      </c>
      <c r="AE58" s="68">
        <f t="shared" si="26"/>
        <v>171998.64</v>
      </c>
      <c r="AF58" s="21">
        <f>2*AJ58</f>
        <v>343.99728000000005</v>
      </c>
      <c r="AG58" s="41">
        <v>2.97</v>
      </c>
      <c r="AH58" s="45">
        <f t="shared" si="9"/>
        <v>0.42342246677030926</v>
      </c>
      <c r="AI58" s="45">
        <f t="shared" si="10"/>
        <v>0.81052811088736443</v>
      </c>
      <c r="AJ58" s="68">
        <f t="shared" ref="AJ58:AJ86" si="29">AG58*C58*E58/1000</f>
        <v>171.99864000000002</v>
      </c>
      <c r="AK58" s="21">
        <f t="shared" si="11"/>
        <v>1.7373599999999998</v>
      </c>
      <c r="AL58" s="68">
        <f t="shared" si="23"/>
        <v>2.4029426160000003</v>
      </c>
      <c r="AM58" s="21">
        <f>AJ58+AL58</f>
        <v>174.40158261600001</v>
      </c>
      <c r="AN58" s="41">
        <f t="shared" si="13"/>
        <v>3.0114930000000002</v>
      </c>
      <c r="AO58" s="41">
        <f t="shared" si="14"/>
        <v>0.42933797802071344</v>
      </c>
      <c r="AP58" s="41">
        <f t="shared" si="15"/>
        <v>0.82185176169714536</v>
      </c>
      <c r="AQ58" s="21">
        <f t="shared" si="16"/>
        <v>1.6481818410947997</v>
      </c>
      <c r="AR58" s="21">
        <f>AJ58*L58/1000</f>
        <v>224.99142098400003</v>
      </c>
      <c r="AS58" s="21">
        <f t="shared" si="18"/>
        <v>226.63960282509484</v>
      </c>
      <c r="AT58" s="41">
        <f t="shared" si="19"/>
        <v>3.4108325834436934</v>
      </c>
    </row>
    <row r="59" spans="1:60" x14ac:dyDescent="0.25">
      <c r="A59">
        <v>2006</v>
      </c>
      <c r="B59">
        <v>7</v>
      </c>
      <c r="C59" s="8">
        <v>152</v>
      </c>
      <c r="D59">
        <f t="shared" ref="D59:D67" si="30">18*25.4</f>
        <v>457.2</v>
      </c>
      <c r="E59" s="8">
        <v>381</v>
      </c>
      <c r="F59">
        <f t="shared" ref="F59:F86" si="31">L59*2+150+2*100</f>
        <v>2966.2</v>
      </c>
      <c r="G59">
        <f t="shared" ref="G59:G86" si="32">F59-200</f>
        <v>2766.2</v>
      </c>
      <c r="H59" s="8">
        <v>10</v>
      </c>
      <c r="I59">
        <v>152</v>
      </c>
      <c r="J59" s="8">
        <v>10</v>
      </c>
      <c r="K59">
        <f t="shared" ref="K59:K86" si="33">C59</f>
        <v>152</v>
      </c>
      <c r="L59">
        <f t="shared" si="28"/>
        <v>1308.0999999999999</v>
      </c>
      <c r="M59">
        <f t="shared" si="2"/>
        <v>1298.0999999999999</v>
      </c>
      <c r="N59" s="8">
        <v>4</v>
      </c>
      <c r="O59">
        <f t="shared" ref="O59:O65" si="34">0.88*25.4</f>
        <v>22.352</v>
      </c>
      <c r="P59" s="21">
        <f t="shared" si="3"/>
        <v>1569.577087252409</v>
      </c>
      <c r="Q59" s="29">
        <f t="shared" si="4"/>
        <v>2.7102795400822093E-2</v>
      </c>
      <c r="R59" s="21">
        <v>410</v>
      </c>
      <c r="S59" s="41">
        <v>3.4</v>
      </c>
      <c r="T59" s="41">
        <f t="shared" si="6"/>
        <v>3.4070866141732279</v>
      </c>
      <c r="U59" s="57">
        <v>10</v>
      </c>
      <c r="V59" s="8">
        <v>31</v>
      </c>
      <c r="W59" s="8" t="s">
        <v>456</v>
      </c>
      <c r="X59" s="7">
        <f t="shared" si="7"/>
        <v>1</v>
      </c>
      <c r="Y59" s="8">
        <v>30</v>
      </c>
      <c r="Z59" s="8">
        <v>1.5</v>
      </c>
      <c r="AA59">
        <f t="shared" ref="AA59:AA67" si="35">0.02*25.4</f>
        <v>0.50800000000000001</v>
      </c>
      <c r="AB59" s="66">
        <v>60</v>
      </c>
      <c r="AC59">
        <v>1100</v>
      </c>
      <c r="AD59" s="7">
        <f t="shared" si="8"/>
        <v>0.9</v>
      </c>
      <c r="AE59" s="68">
        <f t="shared" si="26"/>
        <v>148254.72</v>
      </c>
      <c r="AF59" s="21">
        <f t="shared" ref="AF59:AF86" si="36">2*AJ59</f>
        <v>296.50943999999998</v>
      </c>
      <c r="AG59" s="41">
        <v>2.56</v>
      </c>
      <c r="AH59" s="45">
        <f t="shared" si="9"/>
        <v>0.4597895731885438</v>
      </c>
      <c r="AI59" s="45">
        <f t="shared" si="10"/>
        <v>0.81492830168517982</v>
      </c>
      <c r="AJ59" s="68">
        <f t="shared" si="29"/>
        <v>148.25471999999999</v>
      </c>
      <c r="AK59" s="21">
        <f t="shared" si="11"/>
        <v>1.7373599999999998</v>
      </c>
      <c r="AL59" s="68">
        <f t="shared" si="23"/>
        <v>2.4029426160000003</v>
      </c>
      <c r="AM59" s="21">
        <f t="shared" ref="AM59:AM67" si="37">AJ59+AL59</f>
        <v>150.65766261599998</v>
      </c>
      <c r="AN59" s="41">
        <f t="shared" si="13"/>
        <v>2.6014929999999996</v>
      </c>
      <c r="AO59" s="41">
        <f t="shared" si="14"/>
        <v>0.4672419359855407</v>
      </c>
      <c r="AP59" s="41">
        <f t="shared" si="15"/>
        <v>0.82813682513120435</v>
      </c>
      <c r="AQ59" s="21">
        <f t="shared" si="16"/>
        <v>1.6481818410947997</v>
      </c>
      <c r="AR59" s="21">
        <f t="shared" si="17"/>
        <v>193.93199923199998</v>
      </c>
      <c r="AS59" s="21">
        <f t="shared" si="18"/>
        <v>195.58018107309479</v>
      </c>
      <c r="AT59" s="41">
        <f t="shared" si="19"/>
        <v>3.40728642458232</v>
      </c>
    </row>
    <row r="60" spans="1:60" x14ac:dyDescent="0.25">
      <c r="B60">
        <v>10</v>
      </c>
      <c r="C60" s="8">
        <v>152</v>
      </c>
      <c r="D60">
        <f t="shared" si="30"/>
        <v>457.2</v>
      </c>
      <c r="E60" s="8">
        <v>381</v>
      </c>
      <c r="F60">
        <f t="shared" si="31"/>
        <v>2966.2</v>
      </c>
      <c r="G60">
        <f t="shared" si="32"/>
        <v>2766.2</v>
      </c>
      <c r="H60" s="8">
        <v>10</v>
      </c>
      <c r="I60">
        <v>152</v>
      </c>
      <c r="J60" s="8">
        <v>10</v>
      </c>
      <c r="K60">
        <f t="shared" si="33"/>
        <v>152</v>
      </c>
      <c r="L60">
        <f t="shared" si="28"/>
        <v>1308.0999999999999</v>
      </c>
      <c r="M60">
        <f t="shared" si="2"/>
        <v>1298.0999999999999</v>
      </c>
      <c r="N60" s="8">
        <v>4</v>
      </c>
      <c r="O60">
        <f t="shared" si="34"/>
        <v>22.352</v>
      </c>
      <c r="P60" s="21">
        <f t="shared" si="3"/>
        <v>1569.577087252409</v>
      </c>
      <c r="Q60" s="29">
        <f t="shared" si="4"/>
        <v>2.7102795400822093E-2</v>
      </c>
      <c r="R60" s="21">
        <v>410</v>
      </c>
      <c r="S60" s="41">
        <v>3.4</v>
      </c>
      <c r="T60" s="41">
        <f t="shared" si="6"/>
        <v>3.4070866141732279</v>
      </c>
      <c r="U60" s="57">
        <v>10</v>
      </c>
      <c r="V60" s="8">
        <v>44.9</v>
      </c>
      <c r="W60" s="8" t="s">
        <v>456</v>
      </c>
      <c r="X60" s="7">
        <f t="shared" si="7"/>
        <v>1</v>
      </c>
      <c r="Y60" s="8">
        <v>30</v>
      </c>
      <c r="Z60" s="8">
        <v>1.5</v>
      </c>
      <c r="AA60">
        <f t="shared" si="35"/>
        <v>0.50800000000000001</v>
      </c>
      <c r="AB60" s="66">
        <v>60</v>
      </c>
      <c r="AC60">
        <v>1100</v>
      </c>
      <c r="AD60" s="7">
        <f t="shared" si="8"/>
        <v>0.9</v>
      </c>
      <c r="AE60" s="68">
        <f t="shared" si="26"/>
        <v>188793.12</v>
      </c>
      <c r="AF60" s="21">
        <f t="shared" si="36"/>
        <v>377.58623999999998</v>
      </c>
      <c r="AG60" s="41">
        <v>3.26</v>
      </c>
      <c r="AH60" s="45">
        <f t="shared" si="9"/>
        <v>0.48651297773601876</v>
      </c>
      <c r="AI60" s="45">
        <f t="shared" si="10"/>
        <v>0.91721008172911045</v>
      </c>
      <c r="AJ60" s="68">
        <f t="shared" si="29"/>
        <v>188.79311999999999</v>
      </c>
      <c r="AK60" s="21">
        <f t="shared" si="11"/>
        <v>1.7373599999999998</v>
      </c>
      <c r="AL60" s="68">
        <f t="shared" si="23"/>
        <v>2.4029426160000003</v>
      </c>
      <c r="AM60" s="21">
        <f t="shared" si="37"/>
        <v>191.19606261599998</v>
      </c>
      <c r="AN60" s="41">
        <f t="shared" si="13"/>
        <v>3.3014929999999998</v>
      </c>
      <c r="AO60" s="41">
        <f t="shared" si="14"/>
        <v>0.49270527313025209</v>
      </c>
      <c r="AP60" s="41">
        <f t="shared" si="15"/>
        <v>0.92888425287057852</v>
      </c>
      <c r="AQ60" s="21">
        <f t="shared" si="16"/>
        <v>1.6481818410947997</v>
      </c>
      <c r="AR60" s="21">
        <f t="shared" si="17"/>
        <v>246.96028027199998</v>
      </c>
      <c r="AS60" s="21">
        <f t="shared" si="18"/>
        <v>248.60846211309479</v>
      </c>
      <c r="AT60" s="41">
        <f t="shared" si="19"/>
        <v>3.412809027878982</v>
      </c>
    </row>
    <row r="61" spans="1:60" x14ac:dyDescent="0.25">
      <c r="B61">
        <v>9</v>
      </c>
      <c r="C61" s="8">
        <v>152</v>
      </c>
      <c r="D61">
        <f t="shared" si="30"/>
        <v>457.2</v>
      </c>
      <c r="E61" s="8">
        <v>381</v>
      </c>
      <c r="F61">
        <f t="shared" si="31"/>
        <v>2966.2</v>
      </c>
      <c r="G61">
        <f t="shared" si="32"/>
        <v>2766.2</v>
      </c>
      <c r="H61" s="8">
        <v>10</v>
      </c>
      <c r="I61">
        <v>152</v>
      </c>
      <c r="J61" s="8">
        <v>10</v>
      </c>
      <c r="K61">
        <f t="shared" si="33"/>
        <v>152</v>
      </c>
      <c r="L61">
        <f t="shared" si="28"/>
        <v>1308.0999999999999</v>
      </c>
      <c r="M61">
        <f t="shared" si="2"/>
        <v>1298.0999999999999</v>
      </c>
      <c r="N61" s="8">
        <v>4</v>
      </c>
      <c r="O61">
        <f t="shared" si="34"/>
        <v>22.352</v>
      </c>
      <c r="P61" s="21">
        <f t="shared" si="3"/>
        <v>1569.577087252409</v>
      </c>
      <c r="Q61" s="29">
        <f t="shared" si="4"/>
        <v>2.7102795400822093E-2</v>
      </c>
      <c r="R61" s="21">
        <v>410</v>
      </c>
      <c r="S61" s="41">
        <v>3.4</v>
      </c>
      <c r="T61" s="41">
        <f t="shared" si="6"/>
        <v>3.4070866141732279</v>
      </c>
      <c r="U61" s="57">
        <v>10</v>
      </c>
      <c r="V61" s="8">
        <v>44.9</v>
      </c>
      <c r="W61" s="8" t="s">
        <v>456</v>
      </c>
      <c r="X61" s="7">
        <f t="shared" si="7"/>
        <v>1</v>
      </c>
      <c r="Y61" s="8">
        <v>30</v>
      </c>
      <c r="Z61" s="8">
        <v>1.5</v>
      </c>
      <c r="AA61">
        <f t="shared" si="35"/>
        <v>0.50800000000000001</v>
      </c>
      <c r="AB61" s="66">
        <v>60</v>
      </c>
      <c r="AC61">
        <v>1100</v>
      </c>
      <c r="AD61" s="7">
        <f t="shared" si="8"/>
        <v>0.9</v>
      </c>
      <c r="AE61" s="68">
        <f t="shared" si="26"/>
        <v>189951.35999999999</v>
      </c>
      <c r="AF61" s="21">
        <f t="shared" si="36"/>
        <v>379.90271999999999</v>
      </c>
      <c r="AG61" s="41">
        <v>3.28</v>
      </c>
      <c r="AH61" s="45">
        <f t="shared" si="9"/>
        <v>0.48949771993071828</v>
      </c>
      <c r="AI61" s="45">
        <f t="shared" si="10"/>
        <v>0.92283713744523987</v>
      </c>
      <c r="AJ61" s="68">
        <f t="shared" si="29"/>
        <v>189.95135999999999</v>
      </c>
      <c r="AK61" s="21">
        <f t="shared" si="11"/>
        <v>1.7373599999999998</v>
      </c>
      <c r="AL61" s="68">
        <f t="shared" si="23"/>
        <v>2.4029426160000003</v>
      </c>
      <c r="AM61" s="21">
        <f t="shared" si="37"/>
        <v>192.35430261599998</v>
      </c>
      <c r="AN61" s="41">
        <f t="shared" si="13"/>
        <v>3.3214929999999994</v>
      </c>
      <c r="AO61" s="41">
        <f t="shared" si="14"/>
        <v>0.49569001532495155</v>
      </c>
      <c r="AP61" s="41">
        <f t="shared" si="15"/>
        <v>0.93451130858670783</v>
      </c>
      <c r="AQ61" s="21">
        <f t="shared" si="16"/>
        <v>1.6481818410947997</v>
      </c>
      <c r="AR61" s="21">
        <f t="shared" si="17"/>
        <v>248.47537401599999</v>
      </c>
      <c r="AS61" s="21">
        <f t="shared" si="18"/>
        <v>250.1235558570948</v>
      </c>
      <c r="AT61" s="41">
        <f t="shared" si="19"/>
        <v>3.4129326126973423</v>
      </c>
    </row>
    <row r="62" spans="1:60" x14ac:dyDescent="0.25">
      <c r="B62">
        <v>12</v>
      </c>
      <c r="C62" s="8">
        <v>152</v>
      </c>
      <c r="D62">
        <f t="shared" si="30"/>
        <v>457.2</v>
      </c>
      <c r="E62" s="8">
        <v>381</v>
      </c>
      <c r="F62">
        <f t="shared" si="31"/>
        <v>2966.2</v>
      </c>
      <c r="G62">
        <f t="shared" si="32"/>
        <v>2766.2</v>
      </c>
      <c r="H62" s="8">
        <v>10</v>
      </c>
      <c r="I62">
        <v>152</v>
      </c>
      <c r="J62" s="8">
        <v>10</v>
      </c>
      <c r="K62">
        <f t="shared" si="33"/>
        <v>152</v>
      </c>
      <c r="L62">
        <f t="shared" si="28"/>
        <v>1308.0999999999999</v>
      </c>
      <c r="M62">
        <f t="shared" si="2"/>
        <v>1298.0999999999999</v>
      </c>
      <c r="N62" s="8">
        <v>4</v>
      </c>
      <c r="O62">
        <f t="shared" si="34"/>
        <v>22.352</v>
      </c>
      <c r="P62" s="21">
        <f t="shared" si="3"/>
        <v>1569.577087252409</v>
      </c>
      <c r="Q62" s="29">
        <f t="shared" si="4"/>
        <v>2.7102795400822093E-2</v>
      </c>
      <c r="R62" s="21">
        <v>410</v>
      </c>
      <c r="S62" s="41">
        <v>3.4</v>
      </c>
      <c r="T62" s="41">
        <f t="shared" si="6"/>
        <v>3.4070866141732279</v>
      </c>
      <c r="U62" s="57">
        <v>10</v>
      </c>
      <c r="V62" s="8">
        <v>49.2</v>
      </c>
      <c r="W62" s="8" t="s">
        <v>456</v>
      </c>
      <c r="X62" s="7">
        <f t="shared" si="7"/>
        <v>1</v>
      </c>
      <c r="Y62" s="8">
        <v>60</v>
      </c>
      <c r="Z62" s="8">
        <v>1</v>
      </c>
      <c r="AA62">
        <f t="shared" si="35"/>
        <v>0.50800000000000001</v>
      </c>
      <c r="AB62" s="66">
        <v>80</v>
      </c>
      <c r="AC62">
        <v>1100</v>
      </c>
      <c r="AD62" s="7">
        <f t="shared" si="8"/>
        <v>0.8</v>
      </c>
      <c r="AE62" s="68">
        <f t="shared" si="26"/>
        <v>217749.12</v>
      </c>
      <c r="AF62" s="21">
        <f t="shared" si="36"/>
        <v>435.49824000000001</v>
      </c>
      <c r="AG62" s="41">
        <v>3.76</v>
      </c>
      <c r="AH62" s="45">
        <f t="shared" si="9"/>
        <v>0.53604999160146893</v>
      </c>
      <c r="AI62" s="45">
        <f t="shared" si="10"/>
        <v>1.0261231302816463</v>
      </c>
      <c r="AJ62" s="68">
        <f t="shared" si="29"/>
        <v>217.74912</v>
      </c>
      <c r="AK62" s="21">
        <f t="shared" si="11"/>
        <v>1.7373599999999998</v>
      </c>
      <c r="AL62" s="68">
        <f t="shared" si="23"/>
        <v>2.4029426160000003</v>
      </c>
      <c r="AM62" s="21">
        <f t="shared" si="37"/>
        <v>220.15206261599999</v>
      </c>
      <c r="AN62" s="41">
        <f t="shared" si="13"/>
        <v>3.8014929999999998</v>
      </c>
      <c r="AO62" s="41">
        <f t="shared" si="14"/>
        <v>0.54196550285187306</v>
      </c>
      <c r="AP62" s="41">
        <f t="shared" si="15"/>
        <v>1.0374467810914274</v>
      </c>
      <c r="AQ62" s="21">
        <f t="shared" si="16"/>
        <v>1.6481818410947997</v>
      </c>
      <c r="AR62" s="21">
        <f t="shared" si="17"/>
        <v>284.83762387199999</v>
      </c>
      <c r="AS62" s="21">
        <f t="shared" si="18"/>
        <v>286.48580571309481</v>
      </c>
      <c r="AT62" s="41">
        <f t="shared" si="19"/>
        <v>3.4155085337644793</v>
      </c>
    </row>
    <row r="63" spans="1:60" x14ac:dyDescent="0.25">
      <c r="B63">
        <v>8</v>
      </c>
      <c r="C63" s="8">
        <v>152</v>
      </c>
      <c r="D63">
        <f t="shared" si="30"/>
        <v>457.2</v>
      </c>
      <c r="E63" s="8">
        <v>381</v>
      </c>
      <c r="F63">
        <f t="shared" si="31"/>
        <v>2966.2</v>
      </c>
      <c r="G63">
        <f t="shared" si="32"/>
        <v>2766.2</v>
      </c>
      <c r="H63" s="8">
        <v>10</v>
      </c>
      <c r="I63">
        <v>152</v>
      </c>
      <c r="J63" s="8">
        <v>10</v>
      </c>
      <c r="K63">
        <f t="shared" si="33"/>
        <v>152</v>
      </c>
      <c r="L63">
        <f t="shared" si="28"/>
        <v>1308.0999999999999</v>
      </c>
      <c r="M63">
        <f t="shared" si="2"/>
        <v>1298.0999999999999</v>
      </c>
      <c r="N63" s="8">
        <v>4</v>
      </c>
      <c r="O63">
        <f t="shared" si="34"/>
        <v>22.352</v>
      </c>
      <c r="P63" s="21">
        <f t="shared" si="3"/>
        <v>1569.577087252409</v>
      </c>
      <c r="Q63" s="29">
        <f t="shared" si="4"/>
        <v>2.7102795400822093E-2</v>
      </c>
      <c r="R63" s="21">
        <v>410</v>
      </c>
      <c r="S63" s="41">
        <v>3.4</v>
      </c>
      <c r="T63" s="41">
        <f t="shared" si="6"/>
        <v>3.4070866141732279</v>
      </c>
      <c r="U63" s="57">
        <v>10</v>
      </c>
      <c r="V63" s="8">
        <v>31</v>
      </c>
      <c r="W63" s="8" t="s">
        <v>456</v>
      </c>
      <c r="X63" s="7">
        <f t="shared" si="7"/>
        <v>1</v>
      </c>
      <c r="Y63" s="8">
        <v>30</v>
      </c>
      <c r="Z63" s="8">
        <v>1.5</v>
      </c>
      <c r="AA63">
        <f t="shared" si="35"/>
        <v>0.50800000000000001</v>
      </c>
      <c r="AB63" s="66">
        <v>60</v>
      </c>
      <c r="AC63">
        <v>1100</v>
      </c>
      <c r="AD63" s="7">
        <f t="shared" si="8"/>
        <v>0.9</v>
      </c>
      <c r="AE63" s="68">
        <f t="shared" si="26"/>
        <v>195163.44</v>
      </c>
      <c r="AF63" s="21">
        <f t="shared" si="36"/>
        <v>390.32688000000002</v>
      </c>
      <c r="AG63" s="41">
        <v>3.37</v>
      </c>
      <c r="AH63" s="45">
        <f t="shared" si="9"/>
        <v>0.60526986783023151</v>
      </c>
      <c r="AI63" s="45">
        <f t="shared" si="10"/>
        <v>1.0727767096402563</v>
      </c>
      <c r="AJ63" s="68">
        <f t="shared" si="29"/>
        <v>195.16344000000001</v>
      </c>
      <c r="AK63" s="21">
        <f t="shared" si="11"/>
        <v>1.7373599999999998</v>
      </c>
      <c r="AL63" s="68">
        <f t="shared" si="23"/>
        <v>2.4029426160000003</v>
      </c>
      <c r="AM63" s="21">
        <f t="shared" si="37"/>
        <v>197.566382616</v>
      </c>
      <c r="AN63" s="41">
        <f t="shared" si="13"/>
        <v>3.4114929999999997</v>
      </c>
      <c r="AO63" s="41">
        <f t="shared" si="14"/>
        <v>0.61272223062722841</v>
      </c>
      <c r="AP63" s="41">
        <f t="shared" si="15"/>
        <v>1.0859852330862809</v>
      </c>
      <c r="AQ63" s="21">
        <f t="shared" si="16"/>
        <v>1.6481818410947997</v>
      </c>
      <c r="AR63" s="21">
        <f t="shared" si="17"/>
        <v>255.29329586399999</v>
      </c>
      <c r="AS63" s="21">
        <f t="shared" si="18"/>
        <v>256.94147770509477</v>
      </c>
      <c r="AT63" s="41">
        <f t="shared" si="19"/>
        <v>3.4134708124993751</v>
      </c>
    </row>
    <row r="64" spans="1:60" x14ac:dyDescent="0.25">
      <c r="B64">
        <v>4</v>
      </c>
      <c r="C64" s="8">
        <v>152</v>
      </c>
      <c r="D64">
        <f t="shared" si="30"/>
        <v>457.2</v>
      </c>
      <c r="E64" s="8">
        <v>381</v>
      </c>
      <c r="F64">
        <f t="shared" si="31"/>
        <v>3017</v>
      </c>
      <c r="G64">
        <f t="shared" si="32"/>
        <v>2817</v>
      </c>
      <c r="H64" s="8">
        <v>10</v>
      </c>
      <c r="I64">
        <v>152</v>
      </c>
      <c r="J64" s="8">
        <v>10</v>
      </c>
      <c r="K64">
        <f t="shared" si="33"/>
        <v>152</v>
      </c>
      <c r="L64">
        <f>52.5*25.4</f>
        <v>1333.5</v>
      </c>
      <c r="M64">
        <f t="shared" si="2"/>
        <v>1323.5</v>
      </c>
      <c r="N64" s="8">
        <v>4</v>
      </c>
      <c r="O64">
        <f t="shared" si="34"/>
        <v>22.352</v>
      </c>
      <c r="P64" s="21">
        <f t="shared" si="3"/>
        <v>1569.577087252409</v>
      </c>
      <c r="Q64" s="29">
        <f t="shared" si="4"/>
        <v>2.7102795400822093E-2</v>
      </c>
      <c r="R64" s="21">
        <v>410</v>
      </c>
      <c r="S64" s="41">
        <v>3.5</v>
      </c>
      <c r="T64" s="41">
        <f t="shared" si="6"/>
        <v>3.4737532808398952</v>
      </c>
      <c r="U64" s="57">
        <v>10</v>
      </c>
      <c r="V64" s="8">
        <v>38.1</v>
      </c>
      <c r="W64" s="8" t="s">
        <v>456</v>
      </c>
      <c r="X64" s="7">
        <f t="shared" si="7"/>
        <v>1</v>
      </c>
      <c r="Y64" s="8">
        <v>30</v>
      </c>
      <c r="Z64" s="8">
        <v>1</v>
      </c>
      <c r="AA64">
        <f t="shared" si="35"/>
        <v>0.50800000000000001</v>
      </c>
      <c r="AB64" s="66">
        <v>60</v>
      </c>
      <c r="AC64">
        <v>1100</v>
      </c>
      <c r="AD64" s="7">
        <f t="shared" si="8"/>
        <v>0.6</v>
      </c>
      <c r="AE64" s="68">
        <f t="shared" si="26"/>
        <v>146517.35999999999</v>
      </c>
      <c r="AF64" s="21">
        <f t="shared" si="36"/>
        <v>293.03471999999999</v>
      </c>
      <c r="AG64" s="41">
        <v>2.5299999999999998</v>
      </c>
      <c r="AH64" s="45">
        <f t="shared" si="9"/>
        <v>0.40988123239777152</v>
      </c>
      <c r="AI64" s="45">
        <f t="shared" si="10"/>
        <v>0.75187480021310782</v>
      </c>
      <c r="AJ64" s="68">
        <f t="shared" si="29"/>
        <v>146.51736</v>
      </c>
      <c r="AK64" s="21">
        <f t="shared" si="11"/>
        <v>1.7373599999999998</v>
      </c>
      <c r="AL64" s="68">
        <f t="shared" si="23"/>
        <v>2.4470715600000004</v>
      </c>
      <c r="AM64" s="21">
        <f t="shared" si="37"/>
        <v>148.96443156000001</v>
      </c>
      <c r="AN64" s="41">
        <f t="shared" si="13"/>
        <v>2.5722549999999997</v>
      </c>
      <c r="AO64" s="41">
        <f t="shared" si="14"/>
        <v>0.4167268970123833</v>
      </c>
      <c r="AP64" s="41">
        <f t="shared" si="15"/>
        <v>0.76443229811152869</v>
      </c>
      <c r="AQ64" s="21">
        <f t="shared" si="16"/>
        <v>1.7097770211300001</v>
      </c>
      <c r="AR64" s="21">
        <f t="shared" si="17"/>
        <v>195.38089955999999</v>
      </c>
      <c r="AS64" s="21">
        <f t="shared" si="18"/>
        <v>197.09067658113</v>
      </c>
      <c r="AT64" s="41">
        <f t="shared" si="19"/>
        <v>3.4726300655310602</v>
      </c>
    </row>
    <row r="65" spans="1:60" x14ac:dyDescent="0.25">
      <c r="B65">
        <v>3</v>
      </c>
      <c r="C65" s="8">
        <v>152</v>
      </c>
      <c r="D65">
        <f t="shared" si="30"/>
        <v>457.2</v>
      </c>
      <c r="E65" s="8">
        <v>381</v>
      </c>
      <c r="F65">
        <f t="shared" si="31"/>
        <v>3017</v>
      </c>
      <c r="G65">
        <f t="shared" si="32"/>
        <v>2817</v>
      </c>
      <c r="H65" s="8">
        <v>10</v>
      </c>
      <c r="I65">
        <v>152</v>
      </c>
      <c r="J65" s="8">
        <v>10</v>
      </c>
      <c r="K65">
        <f t="shared" si="33"/>
        <v>152</v>
      </c>
      <c r="L65">
        <f>52.5*25.4</f>
        <v>1333.5</v>
      </c>
      <c r="M65">
        <f t="shared" si="2"/>
        <v>1323.5</v>
      </c>
      <c r="N65" s="8">
        <v>4</v>
      </c>
      <c r="O65">
        <f t="shared" si="34"/>
        <v>22.352</v>
      </c>
      <c r="P65" s="21">
        <f t="shared" si="3"/>
        <v>1569.577087252409</v>
      </c>
      <c r="Q65" s="29">
        <f t="shared" si="4"/>
        <v>2.7102795400822093E-2</v>
      </c>
      <c r="R65" s="21">
        <v>410</v>
      </c>
      <c r="S65" s="41">
        <v>3.5</v>
      </c>
      <c r="T65" s="41">
        <f t="shared" si="6"/>
        <v>3.4737532808398952</v>
      </c>
      <c r="U65" s="57">
        <v>10</v>
      </c>
      <c r="V65" s="8">
        <v>38.1</v>
      </c>
      <c r="W65" s="8" t="s">
        <v>456</v>
      </c>
      <c r="X65" s="7">
        <f t="shared" si="7"/>
        <v>1</v>
      </c>
      <c r="Y65" s="8">
        <v>30</v>
      </c>
      <c r="Z65" s="8">
        <v>1</v>
      </c>
      <c r="AA65">
        <f t="shared" si="35"/>
        <v>0.50800000000000001</v>
      </c>
      <c r="AB65" s="66">
        <v>60</v>
      </c>
      <c r="AC65">
        <v>1100</v>
      </c>
      <c r="AD65" s="7">
        <f t="shared" si="8"/>
        <v>0.6</v>
      </c>
      <c r="AE65" s="68">
        <f t="shared" si="26"/>
        <v>200375.52</v>
      </c>
      <c r="AF65" s="21">
        <f t="shared" si="36"/>
        <v>400.75103999999999</v>
      </c>
      <c r="AG65" s="41">
        <v>3.46</v>
      </c>
      <c r="AH65" s="45">
        <f t="shared" si="9"/>
        <v>0.56054903719220928</v>
      </c>
      <c r="AI65" s="45">
        <f t="shared" si="10"/>
        <v>1.0282556556274123</v>
      </c>
      <c r="AJ65" s="68">
        <f t="shared" si="29"/>
        <v>200.37551999999999</v>
      </c>
      <c r="AK65" s="21">
        <f t="shared" si="11"/>
        <v>1.7373599999999998</v>
      </c>
      <c r="AL65" s="68">
        <f t="shared" si="23"/>
        <v>2.4470715600000004</v>
      </c>
      <c r="AM65" s="21">
        <f t="shared" si="37"/>
        <v>202.82259156000001</v>
      </c>
      <c r="AN65" s="41">
        <f t="shared" si="13"/>
        <v>3.5022549999999999</v>
      </c>
      <c r="AO65" s="41">
        <f t="shared" si="14"/>
        <v>0.56739470180682106</v>
      </c>
      <c r="AP65" s="41">
        <f t="shared" si="15"/>
        <v>1.0408131535258334</v>
      </c>
      <c r="AQ65" s="21">
        <f t="shared" si="16"/>
        <v>1.7097770211300001</v>
      </c>
      <c r="AR65" s="21">
        <f t="shared" si="17"/>
        <v>267.20075591999995</v>
      </c>
      <c r="AS65" s="21">
        <f t="shared" si="18"/>
        <v>268.91053294112993</v>
      </c>
      <c r="AT65" s="41">
        <f t="shared" si="19"/>
        <v>3.4798979655143882</v>
      </c>
    </row>
    <row r="66" spans="1:60" x14ac:dyDescent="0.25">
      <c r="B66">
        <v>1</v>
      </c>
      <c r="C66" s="8">
        <v>152</v>
      </c>
      <c r="D66">
        <f t="shared" si="30"/>
        <v>457.2</v>
      </c>
      <c r="E66" s="8">
        <v>381</v>
      </c>
      <c r="F66">
        <f t="shared" si="31"/>
        <v>3017</v>
      </c>
      <c r="G66">
        <f t="shared" si="32"/>
        <v>2817</v>
      </c>
      <c r="H66" s="8">
        <v>10</v>
      </c>
      <c r="I66">
        <v>152</v>
      </c>
      <c r="J66" s="8">
        <v>10</v>
      </c>
      <c r="K66">
        <f t="shared" si="33"/>
        <v>152</v>
      </c>
      <c r="L66">
        <f>52.5*25.4</f>
        <v>1333.5</v>
      </c>
      <c r="M66">
        <f t="shared" si="2"/>
        <v>1323.5</v>
      </c>
      <c r="N66" s="8">
        <v>4</v>
      </c>
      <c r="O66">
        <f>0.75*25.4</f>
        <v>19.049999999999997</v>
      </c>
      <c r="P66" s="21">
        <f t="shared" si="3"/>
        <v>1140.0918279693697</v>
      </c>
      <c r="Q66" s="29">
        <f t="shared" si="4"/>
        <v>1.9686625016738665E-2</v>
      </c>
      <c r="R66" s="21">
        <v>410</v>
      </c>
      <c r="S66" s="41">
        <v>3.5</v>
      </c>
      <c r="T66" s="41">
        <f t="shared" si="6"/>
        <v>3.4737532808398952</v>
      </c>
      <c r="U66" s="57">
        <v>10</v>
      </c>
      <c r="V66" s="8">
        <v>38.1</v>
      </c>
      <c r="W66" s="8" t="s">
        <v>456</v>
      </c>
      <c r="X66" s="7">
        <f t="shared" si="7"/>
        <v>1</v>
      </c>
      <c r="Y66" s="8">
        <v>30</v>
      </c>
      <c r="Z66" s="8">
        <v>1</v>
      </c>
      <c r="AA66">
        <f t="shared" si="35"/>
        <v>0.50800000000000001</v>
      </c>
      <c r="AB66" s="66">
        <v>60</v>
      </c>
      <c r="AC66">
        <v>1100</v>
      </c>
      <c r="AD66" s="7">
        <f t="shared" si="8"/>
        <v>0.6</v>
      </c>
      <c r="AE66" s="68">
        <f t="shared" si="26"/>
        <v>175473.36</v>
      </c>
      <c r="AF66" s="21">
        <f t="shared" si="36"/>
        <v>350.94671999999997</v>
      </c>
      <c r="AG66" s="41">
        <v>3.03</v>
      </c>
      <c r="AH66" s="45">
        <f t="shared" si="9"/>
        <v>0.49088542852381334</v>
      </c>
      <c r="AI66" s="45">
        <f t="shared" si="10"/>
        <v>0.90046665796273395</v>
      </c>
      <c r="AJ66" s="68">
        <f t="shared" si="29"/>
        <v>175.47335999999999</v>
      </c>
      <c r="AK66" s="21">
        <f t="shared" si="11"/>
        <v>1.7373599999999998</v>
      </c>
      <c r="AL66" s="68">
        <f t="shared" si="23"/>
        <v>2.4470715600000004</v>
      </c>
      <c r="AM66" s="21">
        <f t="shared" si="37"/>
        <v>177.92043156</v>
      </c>
      <c r="AN66" s="41">
        <f t="shared" si="13"/>
        <v>3.0722549999999997</v>
      </c>
      <c r="AO66" s="41">
        <f t="shared" si="14"/>
        <v>0.49773109313842512</v>
      </c>
      <c r="AP66" s="41">
        <f t="shared" si="15"/>
        <v>0.91302415586115482</v>
      </c>
      <c r="AQ66" s="21">
        <f t="shared" si="16"/>
        <v>1.7097770211300001</v>
      </c>
      <c r="AR66" s="21">
        <f t="shared" si="17"/>
        <v>233.99372556</v>
      </c>
      <c r="AS66" s="21">
        <f t="shared" si="18"/>
        <v>235.70350258113001</v>
      </c>
      <c r="AT66" s="41">
        <f t="shared" si="19"/>
        <v>3.4770844377216732</v>
      </c>
    </row>
    <row r="67" spans="1:60" x14ac:dyDescent="0.25">
      <c r="A67" s="1"/>
      <c r="B67" s="1">
        <v>2</v>
      </c>
      <c r="C67" s="9">
        <v>152</v>
      </c>
      <c r="D67" s="1">
        <f t="shared" si="30"/>
        <v>457.2</v>
      </c>
      <c r="E67" s="9">
        <v>381</v>
      </c>
      <c r="F67" s="1">
        <f t="shared" si="31"/>
        <v>3017</v>
      </c>
      <c r="G67" s="1">
        <f t="shared" si="32"/>
        <v>2817</v>
      </c>
      <c r="H67" s="8">
        <v>10</v>
      </c>
      <c r="I67" s="1">
        <v>152</v>
      </c>
      <c r="J67" s="8">
        <v>10</v>
      </c>
      <c r="K67">
        <f t="shared" si="33"/>
        <v>152</v>
      </c>
      <c r="L67">
        <f>52.5*25.4</f>
        <v>1333.5</v>
      </c>
      <c r="M67" s="1">
        <f t="shared" si="2"/>
        <v>1323.5</v>
      </c>
      <c r="N67" s="8">
        <v>4</v>
      </c>
      <c r="O67" s="1">
        <f>0.75*25.4</f>
        <v>19.049999999999997</v>
      </c>
      <c r="P67" s="27">
        <f t="shared" si="3"/>
        <v>1140.0918279693697</v>
      </c>
      <c r="Q67" s="36">
        <f t="shared" si="4"/>
        <v>1.9686625016738665E-2</v>
      </c>
      <c r="R67" s="27">
        <v>410</v>
      </c>
      <c r="S67" s="48">
        <v>3.5</v>
      </c>
      <c r="T67" s="48">
        <f t="shared" si="6"/>
        <v>3.4737532808398952</v>
      </c>
      <c r="U67" s="58">
        <v>10</v>
      </c>
      <c r="V67" s="9">
        <v>38.1</v>
      </c>
      <c r="W67" s="9" t="s">
        <v>456</v>
      </c>
      <c r="X67" s="7">
        <f t="shared" si="7"/>
        <v>1</v>
      </c>
      <c r="Y67" s="9">
        <v>30</v>
      </c>
      <c r="Z67" s="9">
        <v>1</v>
      </c>
      <c r="AA67" s="1">
        <f t="shared" si="35"/>
        <v>0.50800000000000001</v>
      </c>
      <c r="AB67" s="67">
        <v>60</v>
      </c>
      <c r="AC67" s="1">
        <v>1100</v>
      </c>
      <c r="AD67" s="7">
        <f t="shared" si="8"/>
        <v>0.6</v>
      </c>
      <c r="AE67" s="69">
        <f t="shared" si="26"/>
        <v>178948.08</v>
      </c>
      <c r="AF67" s="21">
        <f t="shared" si="36"/>
        <v>357.89615999999995</v>
      </c>
      <c r="AG67" s="48">
        <v>3.09</v>
      </c>
      <c r="AH67" s="45">
        <f t="shared" si="9"/>
        <v>0.50060593205893833</v>
      </c>
      <c r="AI67" s="45">
        <f t="shared" si="10"/>
        <v>0.91829768089268904</v>
      </c>
      <c r="AJ67" s="69">
        <f t="shared" si="29"/>
        <v>178.94807999999998</v>
      </c>
      <c r="AK67" s="21">
        <f t="shared" si="11"/>
        <v>1.7373599999999998</v>
      </c>
      <c r="AL67" s="69">
        <f t="shared" si="23"/>
        <v>2.4470715600000004</v>
      </c>
      <c r="AM67" s="21">
        <f t="shared" si="37"/>
        <v>181.39515155999999</v>
      </c>
      <c r="AN67" s="41">
        <f t="shared" si="13"/>
        <v>3.1322549999999998</v>
      </c>
      <c r="AO67" s="41">
        <f t="shared" si="14"/>
        <v>0.50745159667355011</v>
      </c>
      <c r="AP67" s="41">
        <f t="shared" si="15"/>
        <v>0.93085517879110991</v>
      </c>
      <c r="AQ67" s="21">
        <f t="shared" si="16"/>
        <v>1.7097770211300001</v>
      </c>
      <c r="AR67" s="21">
        <f t="shared" si="17"/>
        <v>238.62726467999997</v>
      </c>
      <c r="AS67" s="21">
        <f t="shared" si="18"/>
        <v>240.33704170112998</v>
      </c>
      <c r="AT67" s="41">
        <f t="shared" si="19"/>
        <v>3.4775233974285613</v>
      </c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1:60" x14ac:dyDescent="0.25">
      <c r="A68" t="s">
        <v>7</v>
      </c>
      <c r="B68" t="s">
        <v>109</v>
      </c>
      <c r="C68" s="8">
        <v>200</v>
      </c>
      <c r="D68">
        <v>300</v>
      </c>
      <c r="E68" s="8">
        <v>260</v>
      </c>
      <c r="F68" s="4">
        <f t="shared" si="31"/>
        <v>1152.6399999999999</v>
      </c>
      <c r="G68" s="4">
        <f t="shared" si="32"/>
        <v>952.63999999999987</v>
      </c>
      <c r="H68" s="8">
        <v>10</v>
      </c>
      <c r="I68">
        <v>152</v>
      </c>
      <c r="J68" s="8">
        <v>10</v>
      </c>
      <c r="K68">
        <f t="shared" si="33"/>
        <v>200</v>
      </c>
      <c r="L68">
        <f>15.8*25.4</f>
        <v>401.32</v>
      </c>
      <c r="M68">
        <f t="shared" si="2"/>
        <v>391.32</v>
      </c>
      <c r="N68" s="8">
        <v>3</v>
      </c>
      <c r="O68">
        <f>0.79*25.4</f>
        <v>20.065999999999999</v>
      </c>
      <c r="P68" s="21">
        <f t="shared" si="3"/>
        <v>948.70841311424488</v>
      </c>
      <c r="Q68" s="29">
        <v>1.8100000000000002E-2</v>
      </c>
      <c r="R68" s="21">
        <v>500</v>
      </c>
      <c r="S68" s="49">
        <v>1.5</v>
      </c>
      <c r="T68" s="41">
        <f t="shared" si="6"/>
        <v>1.505076923076923</v>
      </c>
      <c r="U68" s="57">
        <v>10</v>
      </c>
      <c r="V68" s="8">
        <v>41.2</v>
      </c>
      <c r="W68" s="8" t="s">
        <v>456</v>
      </c>
      <c r="X68" s="7">
        <f t="shared" si="7"/>
        <v>1</v>
      </c>
      <c r="Y68" s="8">
        <v>60</v>
      </c>
      <c r="Z68" s="8">
        <v>0.25</v>
      </c>
      <c r="AA68" s="4">
        <f>0.035*25.4</f>
        <v>0.88900000000000001</v>
      </c>
      <c r="AB68" s="66">
        <v>67</v>
      </c>
      <c r="AC68">
        <v>1100</v>
      </c>
      <c r="AD68" s="7">
        <f t="shared" si="8"/>
        <v>0.16750000000000001</v>
      </c>
      <c r="AE68" s="68">
        <f t="shared" si="26"/>
        <v>279760</v>
      </c>
      <c r="AF68" s="21">
        <f t="shared" si="36"/>
        <v>559.52</v>
      </c>
      <c r="AG68" s="49">
        <v>5.38</v>
      </c>
      <c r="AH68" s="45">
        <f t="shared" si="9"/>
        <v>0.83817300158292152</v>
      </c>
      <c r="AI68" s="45">
        <f t="shared" si="10"/>
        <v>1.5576977896846318</v>
      </c>
      <c r="AJ68" s="68">
        <f t="shared" si="29"/>
        <v>279.76</v>
      </c>
      <c r="AK68" s="21">
        <f t="shared" si="11"/>
        <v>1.5</v>
      </c>
      <c r="AL68" s="68">
        <f t="shared" si="23"/>
        <v>0.71447999999999989</v>
      </c>
      <c r="AM68" s="68">
        <f t="shared" ref="AM68:AM86" si="38">AJ68</f>
        <v>279.76</v>
      </c>
      <c r="AN68" s="41">
        <f t="shared" si="13"/>
        <v>5.38</v>
      </c>
      <c r="AO68" s="41">
        <f t="shared" si="14"/>
        <v>0.83817300158292152</v>
      </c>
      <c r="AP68" s="41">
        <f t="shared" si="15"/>
        <v>1.5576977896846318</v>
      </c>
      <c r="AQ68" s="21">
        <f t="shared" si="16"/>
        <v>0.15844180679999997</v>
      </c>
      <c r="AR68" s="21">
        <f t="shared" si="17"/>
        <v>112.27328319999999</v>
      </c>
      <c r="AS68" s="21">
        <f t="shared" si="18"/>
        <v>112.43172500679999</v>
      </c>
      <c r="AT68" s="41">
        <f t="shared" si="19"/>
        <v>1.5457167270682566</v>
      </c>
    </row>
    <row r="69" spans="1:60" x14ac:dyDescent="0.25">
      <c r="A69">
        <v>2003</v>
      </c>
      <c r="B69" s="11" t="s">
        <v>110</v>
      </c>
      <c r="C69" s="8">
        <v>200</v>
      </c>
      <c r="D69">
        <v>300</v>
      </c>
      <c r="E69" s="8">
        <v>260</v>
      </c>
      <c r="F69" s="4">
        <f t="shared" si="31"/>
        <v>1152.6399999999999</v>
      </c>
      <c r="G69" s="4">
        <f t="shared" si="32"/>
        <v>952.63999999999987</v>
      </c>
      <c r="H69" s="8">
        <v>10</v>
      </c>
      <c r="I69">
        <v>152</v>
      </c>
      <c r="J69" s="8">
        <v>10</v>
      </c>
      <c r="K69">
        <f t="shared" si="33"/>
        <v>200</v>
      </c>
      <c r="L69">
        <f>15.8*25.4</f>
        <v>401.32</v>
      </c>
      <c r="M69">
        <f t="shared" ref="M69:M132" si="39">L69-J69/2-H69/2</f>
        <v>391.32</v>
      </c>
      <c r="N69" s="8">
        <v>3</v>
      </c>
      <c r="O69">
        <f>25.4*0.79</f>
        <v>20.065999999999999</v>
      </c>
      <c r="P69" s="21">
        <f t="shared" ref="P69:P132" si="40">N69*PI()*(O69/2)^2</f>
        <v>948.70841311424488</v>
      </c>
      <c r="Q69" s="29">
        <v>1.8100000000000002E-2</v>
      </c>
      <c r="R69" s="21">
        <v>500</v>
      </c>
      <c r="S69" s="49">
        <v>1.5</v>
      </c>
      <c r="T69" s="41">
        <f t="shared" ref="T69:T86" si="41">M69/E69</f>
        <v>1.505076923076923</v>
      </c>
      <c r="U69" s="57">
        <v>10</v>
      </c>
      <c r="V69" s="8">
        <v>40.299999999999997</v>
      </c>
      <c r="W69" s="8" t="s">
        <v>456</v>
      </c>
      <c r="X69" s="7">
        <f t="shared" ref="X69:X132" si="42">IF(W69="hooked",1,IF(W69="crimped",0.75,IF(W69="straight",0.5,"check")))</f>
        <v>1</v>
      </c>
      <c r="Y69" s="8">
        <v>60</v>
      </c>
      <c r="Z69" s="8">
        <v>0.76</v>
      </c>
      <c r="AA69">
        <f t="shared" ref="AA69:AA86" si="43">0.035*25.4</f>
        <v>0.88900000000000001</v>
      </c>
      <c r="AB69" s="66">
        <v>67</v>
      </c>
      <c r="AC69">
        <v>1100</v>
      </c>
      <c r="AD69" s="7">
        <f t="shared" ref="AD69:AD132" si="44">AB69*Z69/100*X69</f>
        <v>0.50919999999999999</v>
      </c>
      <c r="AE69" s="68">
        <f t="shared" si="26"/>
        <v>299520</v>
      </c>
      <c r="AF69" s="21">
        <f t="shared" si="36"/>
        <v>599.04</v>
      </c>
      <c r="AG69" s="49">
        <v>5.76</v>
      </c>
      <c r="AH69" s="45">
        <f t="shared" ref="AH69:AH132" si="45">AG69/SQRT(V69)</f>
        <v>0.90733979780722918</v>
      </c>
      <c r="AI69" s="45">
        <f t="shared" ref="AI69:AI132" si="46">AG69/(V69^(1/3))</f>
        <v>1.6800445625491531</v>
      </c>
      <c r="AJ69" s="68">
        <f t="shared" si="29"/>
        <v>299.52</v>
      </c>
      <c r="AK69" s="21">
        <f t="shared" ref="AK69:AK132" si="47">25*C69/1000*D69/1000</f>
        <v>1.5</v>
      </c>
      <c r="AL69" s="68">
        <f t="shared" si="23"/>
        <v>0.71447999999999989</v>
      </c>
      <c r="AM69" s="68">
        <f t="shared" si="38"/>
        <v>299.52</v>
      </c>
      <c r="AN69" s="41">
        <f t="shared" ref="AN69:AN132" si="48">AM69*1000/(C69*E69)</f>
        <v>5.76</v>
      </c>
      <c r="AO69" s="41">
        <f t="shared" ref="AO69:AO132" si="49">AN69/SQRT(V69)</f>
        <v>0.90733979780722918</v>
      </c>
      <c r="AP69" s="41">
        <f t="shared" ref="AP69:AP132" si="50">AN69/(V69^(1/3))</f>
        <v>1.6800445625491531</v>
      </c>
      <c r="AQ69" s="21">
        <f t="shared" ref="AQ69:AQ132" si="51">-AK69/2*((F69-G69)/2000+L69/1000)^2+1/2*AK69*F69/1000*L69/1000</f>
        <v>0.15844180679999997</v>
      </c>
      <c r="AR69" s="21">
        <f t="shared" ref="AR69:AR132" si="52">AJ69*L69/1000</f>
        <v>120.20336639999998</v>
      </c>
      <c r="AS69" s="21">
        <f t="shared" ref="AS69:AS132" si="53">AQ69+AR69</f>
        <v>120.36180820679998</v>
      </c>
      <c r="AT69" s="41">
        <f t="shared" ref="AT69:AT132" si="54">AS69/(AM69*E69/1000)</f>
        <v>1.5455730220506656</v>
      </c>
    </row>
    <row r="70" spans="1:60" x14ac:dyDescent="0.25">
      <c r="B70" t="s">
        <v>111</v>
      </c>
      <c r="C70" s="8">
        <v>200</v>
      </c>
      <c r="D70">
        <v>300</v>
      </c>
      <c r="E70" s="8">
        <v>260</v>
      </c>
      <c r="F70">
        <f t="shared" si="31"/>
        <v>1650.48</v>
      </c>
      <c r="G70">
        <f t="shared" si="32"/>
        <v>1450.48</v>
      </c>
      <c r="H70" s="8">
        <v>10</v>
      </c>
      <c r="I70">
        <v>152</v>
      </c>
      <c r="J70" s="8">
        <v>10</v>
      </c>
      <c r="K70">
        <f t="shared" si="33"/>
        <v>200</v>
      </c>
      <c r="L70">
        <f>25.6*25.4</f>
        <v>650.24</v>
      </c>
      <c r="M70">
        <f t="shared" si="39"/>
        <v>640.24</v>
      </c>
      <c r="N70" s="8">
        <v>3</v>
      </c>
      <c r="O70">
        <f>0.79*25.4</f>
        <v>20.065999999999999</v>
      </c>
      <c r="P70" s="21">
        <f t="shared" si="40"/>
        <v>948.70841311424488</v>
      </c>
      <c r="Q70" s="29">
        <v>1.8100000000000002E-2</v>
      </c>
      <c r="R70" s="21">
        <v>500</v>
      </c>
      <c r="S70" s="49">
        <v>2.5</v>
      </c>
      <c r="T70" s="41">
        <f t="shared" si="41"/>
        <v>2.4624615384615387</v>
      </c>
      <c r="U70" s="57">
        <v>10</v>
      </c>
      <c r="V70" s="8">
        <v>40</v>
      </c>
      <c r="W70" s="8" t="s">
        <v>456</v>
      </c>
      <c r="X70" s="7">
        <f t="shared" si="42"/>
        <v>1</v>
      </c>
      <c r="Y70" s="8">
        <v>60</v>
      </c>
      <c r="Z70" s="8">
        <v>0.25</v>
      </c>
      <c r="AA70">
        <f t="shared" si="43"/>
        <v>0.88900000000000001</v>
      </c>
      <c r="AB70" s="66">
        <v>67</v>
      </c>
      <c r="AC70">
        <v>1100</v>
      </c>
      <c r="AD70" s="7">
        <f t="shared" si="44"/>
        <v>0.16750000000000001</v>
      </c>
      <c r="AE70" s="68">
        <f t="shared" si="26"/>
        <v>107639.99999999999</v>
      </c>
      <c r="AF70" s="21">
        <f t="shared" si="36"/>
        <v>215.27999999999997</v>
      </c>
      <c r="AG70" s="49">
        <v>2.0699999999999998</v>
      </c>
      <c r="AH70" s="45">
        <f t="shared" si="45"/>
        <v>0.32729573782742721</v>
      </c>
      <c r="AI70" s="45">
        <f t="shared" si="46"/>
        <v>0.60527167181006325</v>
      </c>
      <c r="AJ70" s="68">
        <f t="shared" si="29"/>
        <v>107.63999999999999</v>
      </c>
      <c r="AK70" s="21">
        <f t="shared" si="47"/>
        <v>1.5</v>
      </c>
      <c r="AL70" s="68">
        <f t="shared" si="23"/>
        <v>1.0878600000000003</v>
      </c>
      <c r="AM70" s="68">
        <f t="shared" si="38"/>
        <v>107.63999999999999</v>
      </c>
      <c r="AN70" s="41">
        <f t="shared" si="48"/>
        <v>2.0699999999999998</v>
      </c>
      <c r="AO70" s="41">
        <f t="shared" si="49"/>
        <v>0.32729573782742721</v>
      </c>
      <c r="AP70" s="41">
        <f t="shared" si="50"/>
        <v>0.60527167181006325</v>
      </c>
      <c r="AQ70" s="21">
        <f t="shared" si="51"/>
        <v>0.38276104320000015</v>
      </c>
      <c r="AR70" s="21">
        <f t="shared" si="52"/>
        <v>69.991833599999993</v>
      </c>
      <c r="AS70" s="21">
        <f t="shared" si="53"/>
        <v>70.374594643199998</v>
      </c>
      <c r="AT70" s="41">
        <f t="shared" si="54"/>
        <v>2.514599757139182</v>
      </c>
    </row>
    <row r="71" spans="1:60" x14ac:dyDescent="0.25">
      <c r="B71" s="11" t="s">
        <v>112</v>
      </c>
      <c r="C71" s="8">
        <v>200</v>
      </c>
      <c r="D71">
        <v>300</v>
      </c>
      <c r="E71" s="8">
        <v>260</v>
      </c>
      <c r="F71">
        <f t="shared" si="31"/>
        <v>1650.48</v>
      </c>
      <c r="G71">
        <f t="shared" si="32"/>
        <v>1450.48</v>
      </c>
      <c r="H71" s="8">
        <v>10</v>
      </c>
      <c r="I71">
        <v>152</v>
      </c>
      <c r="J71" s="8">
        <v>10</v>
      </c>
      <c r="K71">
        <f t="shared" si="33"/>
        <v>200</v>
      </c>
      <c r="L71">
        <f>25.6*25.4</f>
        <v>650.24</v>
      </c>
      <c r="M71">
        <f t="shared" si="39"/>
        <v>640.24</v>
      </c>
      <c r="N71" s="8">
        <v>3</v>
      </c>
      <c r="O71">
        <f>0.79*25.4</f>
        <v>20.065999999999999</v>
      </c>
      <c r="P71" s="21">
        <f t="shared" si="40"/>
        <v>948.70841311424488</v>
      </c>
      <c r="Q71" s="29">
        <v>1.8100000000000002E-2</v>
      </c>
      <c r="R71" s="21">
        <v>500</v>
      </c>
      <c r="S71" s="49">
        <v>2.5</v>
      </c>
      <c r="T71" s="41">
        <f t="shared" si="41"/>
        <v>2.4624615384615387</v>
      </c>
      <c r="U71" s="57">
        <v>10</v>
      </c>
      <c r="V71" s="8">
        <v>38.700000000000003</v>
      </c>
      <c r="W71" s="8" t="s">
        <v>456</v>
      </c>
      <c r="X71" s="7">
        <f t="shared" si="42"/>
        <v>1</v>
      </c>
      <c r="Y71" s="8">
        <v>60</v>
      </c>
      <c r="Z71" s="8">
        <v>0.76</v>
      </c>
      <c r="AA71">
        <f t="shared" si="43"/>
        <v>0.88900000000000001</v>
      </c>
      <c r="AB71" s="66">
        <v>67</v>
      </c>
      <c r="AC71">
        <v>1100</v>
      </c>
      <c r="AD71" s="7">
        <f t="shared" si="44"/>
        <v>0.50919999999999999</v>
      </c>
      <c r="AE71" s="68">
        <f t="shared" si="26"/>
        <v>144040</v>
      </c>
      <c r="AF71" s="21">
        <f t="shared" si="36"/>
        <v>288.08</v>
      </c>
      <c r="AG71" s="49">
        <v>2.77</v>
      </c>
      <c r="AH71" s="45">
        <f t="shared" si="45"/>
        <v>0.44527087247068053</v>
      </c>
      <c r="AI71" s="45">
        <f t="shared" si="46"/>
        <v>0.81892245691526311</v>
      </c>
      <c r="AJ71" s="68">
        <f t="shared" si="29"/>
        <v>144.04</v>
      </c>
      <c r="AK71" s="21">
        <f t="shared" si="47"/>
        <v>1.5</v>
      </c>
      <c r="AL71" s="68">
        <f t="shared" si="23"/>
        <v>1.0878600000000003</v>
      </c>
      <c r="AM71" s="68">
        <f t="shared" si="38"/>
        <v>144.04</v>
      </c>
      <c r="AN71" s="41">
        <f t="shared" si="48"/>
        <v>2.77</v>
      </c>
      <c r="AO71" s="41">
        <f t="shared" si="49"/>
        <v>0.44527087247068053</v>
      </c>
      <c r="AP71" s="41">
        <f t="shared" si="50"/>
        <v>0.81892245691526311</v>
      </c>
      <c r="AQ71" s="21">
        <f t="shared" si="51"/>
        <v>0.38276104320000015</v>
      </c>
      <c r="AR71" s="21">
        <f t="shared" si="52"/>
        <v>93.660569600000002</v>
      </c>
      <c r="AS71" s="21">
        <f t="shared" si="53"/>
        <v>94.043330643200008</v>
      </c>
      <c r="AT71" s="41">
        <f t="shared" si="54"/>
        <v>2.511143556362549</v>
      </c>
    </row>
    <row r="72" spans="1:60" x14ac:dyDescent="0.25">
      <c r="B72" t="s">
        <v>113</v>
      </c>
      <c r="C72" s="8">
        <v>200</v>
      </c>
      <c r="D72">
        <v>300</v>
      </c>
      <c r="E72" s="8">
        <v>260</v>
      </c>
      <c r="F72">
        <f t="shared" si="31"/>
        <v>1650.48</v>
      </c>
      <c r="G72">
        <f t="shared" si="32"/>
        <v>1450.48</v>
      </c>
      <c r="H72" s="8">
        <v>10</v>
      </c>
      <c r="I72">
        <v>152</v>
      </c>
      <c r="J72" s="8">
        <v>10</v>
      </c>
      <c r="K72">
        <f t="shared" si="33"/>
        <v>200</v>
      </c>
      <c r="L72">
        <f>25.6*25.4</f>
        <v>650.24</v>
      </c>
      <c r="M72">
        <f t="shared" si="39"/>
        <v>640.24</v>
      </c>
      <c r="N72" s="8">
        <v>3</v>
      </c>
      <c r="O72">
        <f>0.63*25.4</f>
        <v>16.001999999999999</v>
      </c>
      <c r="P72" s="21">
        <f t="shared" si="40"/>
        <v>603.33659536139044</v>
      </c>
      <c r="Q72" s="29">
        <v>1.15E-2</v>
      </c>
      <c r="R72" s="21">
        <v>500</v>
      </c>
      <c r="S72" s="49">
        <v>2.5</v>
      </c>
      <c r="T72" s="41">
        <f t="shared" si="41"/>
        <v>2.4624615384615387</v>
      </c>
      <c r="U72" s="57">
        <v>10</v>
      </c>
      <c r="V72" s="8">
        <v>40</v>
      </c>
      <c r="W72" s="8" t="s">
        <v>456</v>
      </c>
      <c r="X72" s="7">
        <f t="shared" si="42"/>
        <v>1</v>
      </c>
      <c r="Y72" s="8">
        <v>60</v>
      </c>
      <c r="Z72" s="8">
        <v>0.25</v>
      </c>
      <c r="AA72">
        <f t="shared" si="43"/>
        <v>0.88900000000000001</v>
      </c>
      <c r="AB72" s="66">
        <v>67</v>
      </c>
      <c r="AC72">
        <v>1100</v>
      </c>
      <c r="AD72" s="7">
        <f t="shared" si="44"/>
        <v>0.16750000000000001</v>
      </c>
      <c r="AE72" s="68">
        <f t="shared" si="26"/>
        <v>81640</v>
      </c>
      <c r="AF72" s="21">
        <f t="shared" si="36"/>
        <v>163.28</v>
      </c>
      <c r="AG72" s="49">
        <v>1.57</v>
      </c>
      <c r="AH72" s="45">
        <f t="shared" si="45"/>
        <v>0.24823879632321777</v>
      </c>
      <c r="AI72" s="45">
        <f t="shared" si="46"/>
        <v>0.45907078489941999</v>
      </c>
      <c r="AJ72" s="68">
        <f t="shared" si="29"/>
        <v>81.64</v>
      </c>
      <c r="AK72" s="21">
        <f t="shared" si="47"/>
        <v>1.5</v>
      </c>
      <c r="AL72" s="68">
        <f t="shared" si="23"/>
        <v>1.0878600000000003</v>
      </c>
      <c r="AM72" s="68">
        <f t="shared" si="38"/>
        <v>81.64</v>
      </c>
      <c r="AN72" s="41">
        <f t="shared" si="48"/>
        <v>1.57</v>
      </c>
      <c r="AO72" s="41">
        <f t="shared" si="49"/>
        <v>0.24823879632321777</v>
      </c>
      <c r="AP72" s="41">
        <f t="shared" si="50"/>
        <v>0.45907078489941999</v>
      </c>
      <c r="AQ72" s="21">
        <f t="shared" si="51"/>
        <v>0.38276104320000015</v>
      </c>
      <c r="AR72" s="21">
        <f t="shared" si="52"/>
        <v>53.085593600000003</v>
      </c>
      <c r="AS72" s="21">
        <f t="shared" si="53"/>
        <v>53.468354643200001</v>
      </c>
      <c r="AT72" s="41">
        <f t="shared" si="54"/>
        <v>2.5189553877812534</v>
      </c>
    </row>
    <row r="73" spans="1:60" x14ac:dyDescent="0.25">
      <c r="B73" s="11" t="s">
        <v>114</v>
      </c>
      <c r="C73" s="8">
        <v>200</v>
      </c>
      <c r="D73">
        <v>300</v>
      </c>
      <c r="E73" s="8">
        <v>260</v>
      </c>
      <c r="F73">
        <f t="shared" si="31"/>
        <v>1650.48</v>
      </c>
      <c r="G73">
        <f t="shared" si="32"/>
        <v>1450.48</v>
      </c>
      <c r="H73" s="8">
        <v>10</v>
      </c>
      <c r="I73">
        <v>152</v>
      </c>
      <c r="J73" s="8">
        <v>10</v>
      </c>
      <c r="K73">
        <f t="shared" si="33"/>
        <v>200</v>
      </c>
      <c r="L73">
        <f>25.6*25.4</f>
        <v>650.24</v>
      </c>
      <c r="M73">
        <f t="shared" si="39"/>
        <v>640.24</v>
      </c>
      <c r="N73" s="8">
        <v>3</v>
      </c>
      <c r="O73">
        <f>0.63*25.4</f>
        <v>16.001999999999999</v>
      </c>
      <c r="P73" s="21">
        <f t="shared" si="40"/>
        <v>603.33659536139044</v>
      </c>
      <c r="Q73" s="29">
        <v>1.15E-2</v>
      </c>
      <c r="R73" s="21">
        <v>500</v>
      </c>
      <c r="S73" s="49">
        <v>2.5</v>
      </c>
      <c r="T73" s="41">
        <f t="shared" si="41"/>
        <v>2.4624615384615387</v>
      </c>
      <c r="U73" s="57">
        <v>10</v>
      </c>
      <c r="V73" s="8">
        <v>38.700000000000003</v>
      </c>
      <c r="W73" s="8" t="s">
        <v>456</v>
      </c>
      <c r="X73" s="7">
        <f t="shared" si="42"/>
        <v>1</v>
      </c>
      <c r="Y73" s="8">
        <v>60</v>
      </c>
      <c r="Z73" s="8">
        <v>0.76</v>
      </c>
      <c r="AA73">
        <f t="shared" si="43"/>
        <v>0.88900000000000001</v>
      </c>
      <c r="AB73" s="66">
        <v>67</v>
      </c>
      <c r="AC73">
        <v>1100</v>
      </c>
      <c r="AD73" s="7">
        <f t="shared" si="44"/>
        <v>0.50919999999999999</v>
      </c>
      <c r="AE73" s="68">
        <f t="shared" si="26"/>
        <v>107120</v>
      </c>
      <c r="AF73" s="21">
        <f t="shared" si="36"/>
        <v>214.24</v>
      </c>
      <c r="AG73" s="49">
        <v>2.06</v>
      </c>
      <c r="AH73" s="45">
        <f t="shared" si="45"/>
        <v>0.331140071223683</v>
      </c>
      <c r="AI73" s="45">
        <f t="shared" si="46"/>
        <v>0.60901814485395023</v>
      </c>
      <c r="AJ73" s="68">
        <f t="shared" si="29"/>
        <v>107.12</v>
      </c>
      <c r="AK73" s="21">
        <f t="shared" si="47"/>
        <v>1.5</v>
      </c>
      <c r="AL73" s="68">
        <f t="shared" si="23"/>
        <v>1.0878600000000003</v>
      </c>
      <c r="AM73" s="68">
        <f t="shared" si="38"/>
        <v>107.12</v>
      </c>
      <c r="AN73" s="41">
        <f t="shared" si="48"/>
        <v>2.06</v>
      </c>
      <c r="AO73" s="41">
        <f t="shared" si="49"/>
        <v>0.331140071223683</v>
      </c>
      <c r="AP73" s="41">
        <f t="shared" si="50"/>
        <v>0.60901814485395023</v>
      </c>
      <c r="AQ73" s="21">
        <f t="shared" si="51"/>
        <v>0.38276104320000015</v>
      </c>
      <c r="AR73" s="21">
        <f t="shared" si="52"/>
        <v>69.653708800000004</v>
      </c>
      <c r="AS73" s="21">
        <f t="shared" si="53"/>
        <v>70.03646984320001</v>
      </c>
      <c r="AT73" s="41">
        <f t="shared" si="54"/>
        <v>2.5146661487907167</v>
      </c>
    </row>
    <row r="74" spans="1:60" x14ac:dyDescent="0.25">
      <c r="B74" t="s">
        <v>115</v>
      </c>
      <c r="C74" s="8">
        <v>200</v>
      </c>
      <c r="D74">
        <v>500</v>
      </c>
      <c r="E74" s="8">
        <v>460</v>
      </c>
      <c r="F74">
        <f t="shared" si="31"/>
        <v>3448.7999999999997</v>
      </c>
      <c r="G74">
        <f t="shared" si="32"/>
        <v>3248.7999999999997</v>
      </c>
      <c r="H74" s="8">
        <v>10</v>
      </c>
      <c r="I74">
        <v>152</v>
      </c>
      <c r="J74" s="8">
        <v>10</v>
      </c>
      <c r="K74">
        <f t="shared" si="33"/>
        <v>200</v>
      </c>
      <c r="L74">
        <f>61*25.4</f>
        <v>1549.3999999999999</v>
      </c>
      <c r="M74">
        <f t="shared" si="39"/>
        <v>1539.3999999999999</v>
      </c>
      <c r="N74" s="8">
        <v>3</v>
      </c>
      <c r="O74">
        <f>1.26*25.4</f>
        <v>32.003999999999998</v>
      </c>
      <c r="P74" s="21">
        <f t="shared" si="40"/>
        <v>2413.3463814455617</v>
      </c>
      <c r="Q74" s="29">
        <v>2.8000000000000001E-2</v>
      </c>
      <c r="R74" s="21">
        <v>500</v>
      </c>
      <c r="S74" s="49">
        <v>3.4</v>
      </c>
      <c r="T74" s="41">
        <f t="shared" si="41"/>
        <v>3.3465217391304343</v>
      </c>
      <c r="U74" s="57">
        <v>10</v>
      </c>
      <c r="V74" s="8">
        <v>37.700000000000003</v>
      </c>
      <c r="W74" s="8" t="s">
        <v>456</v>
      </c>
      <c r="X74" s="7">
        <f t="shared" si="42"/>
        <v>1</v>
      </c>
      <c r="Y74" s="8">
        <v>60</v>
      </c>
      <c r="Z74" s="8">
        <v>0.5</v>
      </c>
      <c r="AA74">
        <f t="shared" si="43"/>
        <v>0.88900000000000001</v>
      </c>
      <c r="AB74" s="66">
        <v>67</v>
      </c>
      <c r="AC74">
        <v>1100</v>
      </c>
      <c r="AD74" s="7">
        <f t="shared" si="44"/>
        <v>0.33500000000000002</v>
      </c>
      <c r="AE74" s="68">
        <f t="shared" si="26"/>
        <v>243800</v>
      </c>
      <c r="AF74" s="21">
        <f t="shared" si="36"/>
        <v>487.6</v>
      </c>
      <c r="AG74" s="49">
        <v>2.65</v>
      </c>
      <c r="AH74" s="45">
        <f t="shared" si="45"/>
        <v>0.43159380156470228</v>
      </c>
      <c r="AI74" s="45">
        <f t="shared" si="46"/>
        <v>0.79031232926459039</v>
      </c>
      <c r="AJ74" s="68">
        <f t="shared" si="29"/>
        <v>243.8</v>
      </c>
      <c r="AK74" s="21">
        <f t="shared" si="47"/>
        <v>2.5</v>
      </c>
      <c r="AL74" s="68">
        <f t="shared" si="23"/>
        <v>4.0609999999999999</v>
      </c>
      <c r="AM74" s="68">
        <f t="shared" si="38"/>
        <v>243.8</v>
      </c>
      <c r="AN74" s="41">
        <f t="shared" si="48"/>
        <v>2.65</v>
      </c>
      <c r="AO74" s="41">
        <f t="shared" si="49"/>
        <v>0.43159380156470228</v>
      </c>
      <c r="AP74" s="41">
        <f t="shared" si="50"/>
        <v>0.79031232926459039</v>
      </c>
      <c r="AQ74" s="21">
        <f t="shared" si="51"/>
        <v>3.2788129499999994</v>
      </c>
      <c r="AR74" s="21">
        <f t="shared" si="52"/>
        <v>377.74372</v>
      </c>
      <c r="AS74" s="21">
        <f t="shared" si="53"/>
        <v>381.02253294999997</v>
      </c>
      <c r="AT74" s="41">
        <f t="shared" si="54"/>
        <v>3.3974973512679671</v>
      </c>
    </row>
    <row r="75" spans="1:60" x14ac:dyDescent="0.25">
      <c r="B75" s="11" t="s">
        <v>116</v>
      </c>
      <c r="C75" s="8">
        <v>200</v>
      </c>
      <c r="D75">
        <v>500</v>
      </c>
      <c r="E75" s="8">
        <v>460</v>
      </c>
      <c r="F75">
        <f t="shared" si="31"/>
        <v>3448.7999999999997</v>
      </c>
      <c r="G75">
        <f t="shared" si="32"/>
        <v>3248.7999999999997</v>
      </c>
      <c r="H75" s="8">
        <v>10</v>
      </c>
      <c r="I75">
        <v>152</v>
      </c>
      <c r="J75" s="8">
        <v>10</v>
      </c>
      <c r="K75">
        <f t="shared" si="33"/>
        <v>200</v>
      </c>
      <c r="L75">
        <f>61*25.4</f>
        <v>1549.3999999999999</v>
      </c>
      <c r="M75">
        <f t="shared" si="39"/>
        <v>1539.3999999999999</v>
      </c>
      <c r="N75" s="8">
        <v>3</v>
      </c>
      <c r="O75">
        <f>1.26*25.4</f>
        <v>32.003999999999998</v>
      </c>
      <c r="P75" s="21">
        <f t="shared" si="40"/>
        <v>2413.3463814455617</v>
      </c>
      <c r="Q75" s="29">
        <v>2.8000000000000001E-2</v>
      </c>
      <c r="R75" s="21">
        <v>500</v>
      </c>
      <c r="S75" s="49">
        <v>3.4</v>
      </c>
      <c r="T75" s="41">
        <f t="shared" si="41"/>
        <v>3.3465217391304343</v>
      </c>
      <c r="U75" s="57">
        <v>10</v>
      </c>
      <c r="V75" s="8">
        <v>38.799999999999997</v>
      </c>
      <c r="W75" s="8" t="s">
        <v>456</v>
      </c>
      <c r="X75" s="7">
        <f t="shared" si="42"/>
        <v>1</v>
      </c>
      <c r="Y75" s="8">
        <v>60</v>
      </c>
      <c r="Z75" s="8">
        <v>0.5</v>
      </c>
      <c r="AA75">
        <f t="shared" si="43"/>
        <v>0.88900000000000001</v>
      </c>
      <c r="AB75" s="66">
        <v>67</v>
      </c>
      <c r="AC75">
        <v>1100</v>
      </c>
      <c r="AD75" s="7">
        <f t="shared" si="44"/>
        <v>0.33500000000000002</v>
      </c>
      <c r="AE75" s="68">
        <f t="shared" si="26"/>
        <v>252080</v>
      </c>
      <c r="AF75" s="21">
        <f t="shared" si="36"/>
        <v>504.16</v>
      </c>
      <c r="AG75" s="49">
        <v>2.74</v>
      </c>
      <c r="AH75" s="45">
        <f t="shared" si="45"/>
        <v>0.43988048986153588</v>
      </c>
      <c r="AI75" s="45">
        <f t="shared" si="46"/>
        <v>0.8093567398570618</v>
      </c>
      <c r="AJ75" s="68">
        <f t="shared" si="29"/>
        <v>252.08</v>
      </c>
      <c r="AK75" s="21">
        <f t="shared" si="47"/>
        <v>2.5</v>
      </c>
      <c r="AL75" s="68">
        <f t="shared" si="23"/>
        <v>4.0609999999999999</v>
      </c>
      <c r="AM75" s="68">
        <f t="shared" si="38"/>
        <v>252.08</v>
      </c>
      <c r="AN75" s="41">
        <f t="shared" si="48"/>
        <v>2.74</v>
      </c>
      <c r="AO75" s="41">
        <f t="shared" si="49"/>
        <v>0.43988048986153588</v>
      </c>
      <c r="AP75" s="41">
        <f t="shared" si="50"/>
        <v>0.8093567398570618</v>
      </c>
      <c r="AQ75" s="21">
        <f t="shared" si="51"/>
        <v>3.2788129499999994</v>
      </c>
      <c r="AR75" s="21">
        <f t="shared" si="52"/>
        <v>390.57275199999998</v>
      </c>
      <c r="AS75" s="21">
        <f t="shared" si="53"/>
        <v>393.85156494999995</v>
      </c>
      <c r="AT75" s="41">
        <f t="shared" si="54"/>
        <v>3.3965370288762706</v>
      </c>
    </row>
    <row r="76" spans="1:60" x14ac:dyDescent="0.25">
      <c r="B76" t="s">
        <v>117</v>
      </c>
      <c r="C76" s="8">
        <v>200</v>
      </c>
      <c r="D76">
        <v>500</v>
      </c>
      <c r="E76" s="8">
        <v>460</v>
      </c>
      <c r="F76">
        <f t="shared" si="31"/>
        <v>3448.7999999999997</v>
      </c>
      <c r="G76">
        <f t="shared" si="32"/>
        <v>3248.7999999999997</v>
      </c>
      <c r="H76" s="8">
        <v>10</v>
      </c>
      <c r="I76">
        <v>152</v>
      </c>
      <c r="J76" s="8">
        <v>10</v>
      </c>
      <c r="K76">
        <f t="shared" si="33"/>
        <v>200</v>
      </c>
      <c r="L76">
        <f>61*25.4</f>
        <v>1549.3999999999999</v>
      </c>
      <c r="M76">
        <f t="shared" si="39"/>
        <v>1539.3999999999999</v>
      </c>
      <c r="N76" s="8">
        <v>3</v>
      </c>
      <c r="O76">
        <f>1.26*25.4</f>
        <v>32.003999999999998</v>
      </c>
      <c r="P76" s="21">
        <f t="shared" si="40"/>
        <v>2413.3463814455617</v>
      </c>
      <c r="Q76" s="29">
        <v>2.8000000000000001E-2</v>
      </c>
      <c r="R76" s="21">
        <v>500</v>
      </c>
      <c r="S76" s="49">
        <v>3.4</v>
      </c>
      <c r="T76" s="41">
        <f t="shared" si="41"/>
        <v>3.3465217391304343</v>
      </c>
      <c r="U76" s="57">
        <v>10</v>
      </c>
      <c r="V76" s="8">
        <v>37.700000000000003</v>
      </c>
      <c r="W76" s="8" t="s">
        <v>456</v>
      </c>
      <c r="X76" s="7">
        <f t="shared" si="42"/>
        <v>1</v>
      </c>
      <c r="Y76" s="8">
        <v>60</v>
      </c>
      <c r="Z76" s="8">
        <v>0.5</v>
      </c>
      <c r="AA76">
        <f t="shared" si="43"/>
        <v>0.88900000000000001</v>
      </c>
      <c r="AB76" s="66">
        <v>67</v>
      </c>
      <c r="AC76">
        <v>1100</v>
      </c>
      <c r="AD76" s="7">
        <f t="shared" si="44"/>
        <v>0.33500000000000002</v>
      </c>
      <c r="AE76" s="68">
        <f t="shared" si="26"/>
        <v>258519.99999999997</v>
      </c>
      <c r="AF76" s="21">
        <f t="shared" si="36"/>
        <v>517.04</v>
      </c>
      <c r="AG76" s="49">
        <v>2.81</v>
      </c>
      <c r="AH76" s="45">
        <f t="shared" si="45"/>
        <v>0.45765229524408058</v>
      </c>
      <c r="AI76" s="45">
        <f t="shared" si="46"/>
        <v>0.83802930008811283</v>
      </c>
      <c r="AJ76" s="68">
        <f t="shared" si="29"/>
        <v>258.52</v>
      </c>
      <c r="AK76" s="21">
        <f t="shared" si="47"/>
        <v>2.5</v>
      </c>
      <c r="AL76" s="68">
        <f t="shared" si="23"/>
        <v>4.0609999999999999</v>
      </c>
      <c r="AM76" s="68">
        <f t="shared" si="38"/>
        <v>258.52</v>
      </c>
      <c r="AN76" s="41">
        <f t="shared" si="48"/>
        <v>2.8099999999999996</v>
      </c>
      <c r="AO76" s="41">
        <f t="shared" si="49"/>
        <v>0.45765229524408046</v>
      </c>
      <c r="AP76" s="41">
        <f t="shared" si="50"/>
        <v>0.83802930008811272</v>
      </c>
      <c r="AQ76" s="21">
        <f t="shared" si="51"/>
        <v>3.2788129499999994</v>
      </c>
      <c r="AR76" s="21">
        <f t="shared" si="52"/>
        <v>400.55088799999993</v>
      </c>
      <c r="AS76" s="21">
        <f t="shared" si="53"/>
        <v>403.8297009499999</v>
      </c>
      <c r="AT76" s="41">
        <f t="shared" si="54"/>
        <v>3.3958326405660304</v>
      </c>
    </row>
    <row r="77" spans="1:60" x14ac:dyDescent="0.25">
      <c r="B77" s="11" t="s">
        <v>118</v>
      </c>
      <c r="C77" s="8">
        <v>200</v>
      </c>
      <c r="D77">
        <v>500</v>
      </c>
      <c r="E77" s="8">
        <v>460</v>
      </c>
      <c r="F77">
        <f t="shared" si="31"/>
        <v>3448.7999999999997</v>
      </c>
      <c r="G77">
        <f t="shared" si="32"/>
        <v>3248.7999999999997</v>
      </c>
      <c r="H77" s="8">
        <v>10</v>
      </c>
      <c r="I77">
        <v>152</v>
      </c>
      <c r="J77" s="8">
        <v>10</v>
      </c>
      <c r="K77">
        <f t="shared" si="33"/>
        <v>200</v>
      </c>
      <c r="L77">
        <f>61*25.4</f>
        <v>1549.3999999999999</v>
      </c>
      <c r="M77">
        <f t="shared" si="39"/>
        <v>1539.3999999999999</v>
      </c>
      <c r="N77" s="8">
        <v>3</v>
      </c>
      <c r="O77">
        <f>1.26*25.4</f>
        <v>32.003999999999998</v>
      </c>
      <c r="P77" s="21">
        <f t="shared" si="40"/>
        <v>2413.3463814455617</v>
      </c>
      <c r="Q77" s="29">
        <v>2.8000000000000001E-2</v>
      </c>
      <c r="R77" s="21">
        <v>500</v>
      </c>
      <c r="S77" s="49">
        <v>3.4</v>
      </c>
      <c r="T77" s="41">
        <f t="shared" si="41"/>
        <v>3.3465217391304343</v>
      </c>
      <c r="U77" s="57">
        <v>10</v>
      </c>
      <c r="V77" s="8">
        <v>37.700000000000003</v>
      </c>
      <c r="W77" s="8" t="s">
        <v>456</v>
      </c>
      <c r="X77" s="7">
        <f t="shared" si="42"/>
        <v>1</v>
      </c>
      <c r="Y77" s="8">
        <v>60</v>
      </c>
      <c r="Z77" s="8">
        <v>0.5</v>
      </c>
      <c r="AA77">
        <f t="shared" si="43"/>
        <v>0.88900000000000001</v>
      </c>
      <c r="AB77" s="66">
        <v>67</v>
      </c>
      <c r="AC77">
        <v>1100</v>
      </c>
      <c r="AD77" s="7">
        <f t="shared" si="44"/>
        <v>0.33500000000000002</v>
      </c>
      <c r="AE77" s="68">
        <f t="shared" si="26"/>
        <v>263120</v>
      </c>
      <c r="AF77" s="21">
        <f t="shared" si="36"/>
        <v>526.24</v>
      </c>
      <c r="AG77" s="49">
        <v>2.86</v>
      </c>
      <c r="AH77" s="45">
        <f t="shared" si="45"/>
        <v>0.46579557451888626</v>
      </c>
      <c r="AI77" s="45">
        <f t="shared" si="46"/>
        <v>0.85294085347046356</v>
      </c>
      <c r="AJ77" s="68">
        <f t="shared" si="29"/>
        <v>263.12</v>
      </c>
      <c r="AK77" s="21">
        <f t="shared" si="47"/>
        <v>2.5</v>
      </c>
      <c r="AL77" s="68">
        <f t="shared" si="23"/>
        <v>4.0609999999999999</v>
      </c>
      <c r="AM77" s="68">
        <f t="shared" si="38"/>
        <v>263.12</v>
      </c>
      <c r="AN77" s="41">
        <f t="shared" si="48"/>
        <v>2.86</v>
      </c>
      <c r="AO77" s="41">
        <f t="shared" si="49"/>
        <v>0.46579557451888626</v>
      </c>
      <c r="AP77" s="41">
        <f t="shared" si="50"/>
        <v>0.85294085347046356</v>
      </c>
      <c r="AQ77" s="21">
        <f t="shared" si="51"/>
        <v>3.2788129499999994</v>
      </c>
      <c r="AR77" s="21">
        <f t="shared" si="52"/>
        <v>407.67812799999996</v>
      </c>
      <c r="AS77" s="21">
        <f t="shared" si="53"/>
        <v>410.95694094999993</v>
      </c>
      <c r="AT77" s="41">
        <f t="shared" si="54"/>
        <v>3.3953506165974852</v>
      </c>
    </row>
    <row r="78" spans="1:60" x14ac:dyDescent="0.25">
      <c r="B78" t="s">
        <v>119</v>
      </c>
      <c r="C78" s="8">
        <v>200</v>
      </c>
      <c r="D78">
        <v>300</v>
      </c>
      <c r="E78" s="8">
        <v>260</v>
      </c>
      <c r="F78">
        <f t="shared" si="31"/>
        <v>2148.3199999999997</v>
      </c>
      <c r="G78">
        <f t="shared" si="32"/>
        <v>1948.3199999999997</v>
      </c>
      <c r="H78" s="8">
        <v>10</v>
      </c>
      <c r="I78">
        <v>152</v>
      </c>
      <c r="J78" s="8">
        <v>10</v>
      </c>
      <c r="K78">
        <f t="shared" si="33"/>
        <v>200</v>
      </c>
      <c r="L78">
        <f>35.4*25.4</f>
        <v>899.16</v>
      </c>
      <c r="M78">
        <f t="shared" si="39"/>
        <v>889.16</v>
      </c>
      <c r="N78" s="8">
        <v>3</v>
      </c>
      <c r="O78">
        <f>1.1*25.4</f>
        <v>27.94</v>
      </c>
      <c r="P78" s="21">
        <f t="shared" si="40"/>
        <v>1839.348149123917</v>
      </c>
      <c r="Q78" s="29">
        <v>3.56E-2</v>
      </c>
      <c r="R78" s="21">
        <v>500</v>
      </c>
      <c r="S78" s="49">
        <v>3.5</v>
      </c>
      <c r="T78" s="41">
        <f t="shared" si="41"/>
        <v>3.4198461538461538</v>
      </c>
      <c r="U78" s="57">
        <v>10</v>
      </c>
      <c r="V78" s="8">
        <v>46.9</v>
      </c>
      <c r="W78" s="8" t="s">
        <v>456</v>
      </c>
      <c r="X78" s="7">
        <f t="shared" si="42"/>
        <v>1</v>
      </c>
      <c r="Y78" s="8">
        <v>60</v>
      </c>
      <c r="Z78" s="8">
        <v>0.25</v>
      </c>
      <c r="AA78">
        <f t="shared" si="43"/>
        <v>0.88900000000000001</v>
      </c>
      <c r="AB78" s="66">
        <v>67</v>
      </c>
      <c r="AC78">
        <v>1100</v>
      </c>
      <c r="AD78" s="7">
        <f t="shared" si="44"/>
        <v>0.16750000000000001</v>
      </c>
      <c r="AE78" s="68">
        <f t="shared" si="26"/>
        <v>109720</v>
      </c>
      <c r="AF78" s="21">
        <f t="shared" si="36"/>
        <v>219.44</v>
      </c>
      <c r="AG78" s="49">
        <v>2.11</v>
      </c>
      <c r="AH78" s="45">
        <f t="shared" si="45"/>
        <v>0.30810307582121016</v>
      </c>
      <c r="AI78" s="45">
        <f t="shared" si="46"/>
        <v>0.5850929175196139</v>
      </c>
      <c r="AJ78" s="68">
        <f t="shared" si="29"/>
        <v>109.72</v>
      </c>
      <c r="AK78" s="21">
        <f t="shared" si="47"/>
        <v>1.5</v>
      </c>
      <c r="AL78" s="68">
        <f t="shared" si="23"/>
        <v>1.4612399999999999</v>
      </c>
      <c r="AM78" s="68">
        <f t="shared" si="38"/>
        <v>109.72</v>
      </c>
      <c r="AN78" s="41">
        <f t="shared" si="48"/>
        <v>2.11</v>
      </c>
      <c r="AO78" s="41">
        <f t="shared" si="49"/>
        <v>0.30810307582121016</v>
      </c>
      <c r="AP78" s="41">
        <f t="shared" si="50"/>
        <v>0.5850929175196139</v>
      </c>
      <c r="AQ78" s="21">
        <f t="shared" si="51"/>
        <v>0.70002202919999978</v>
      </c>
      <c r="AR78" s="21">
        <f t="shared" si="52"/>
        <v>98.655835199999999</v>
      </c>
      <c r="AS78" s="21">
        <f t="shared" si="53"/>
        <v>99.355857229199998</v>
      </c>
      <c r="AT78" s="41">
        <f t="shared" si="54"/>
        <v>3.4828464493255558</v>
      </c>
    </row>
    <row r="79" spans="1:60" x14ac:dyDescent="0.25">
      <c r="B79" s="11" t="s">
        <v>120</v>
      </c>
      <c r="C79" s="8">
        <v>200</v>
      </c>
      <c r="D79">
        <v>300</v>
      </c>
      <c r="E79" s="8">
        <v>260</v>
      </c>
      <c r="F79">
        <f t="shared" si="31"/>
        <v>2148.3199999999997</v>
      </c>
      <c r="G79">
        <f t="shared" si="32"/>
        <v>1948.3199999999997</v>
      </c>
      <c r="H79" s="8">
        <v>10</v>
      </c>
      <c r="I79">
        <v>152</v>
      </c>
      <c r="J79" s="8">
        <v>10</v>
      </c>
      <c r="K79">
        <f t="shared" si="33"/>
        <v>200</v>
      </c>
      <c r="L79">
        <f>35.4*25.4</f>
        <v>899.16</v>
      </c>
      <c r="M79">
        <f t="shared" si="39"/>
        <v>889.16</v>
      </c>
      <c r="N79" s="8">
        <v>3</v>
      </c>
      <c r="O79">
        <f>1.1*25.4</f>
        <v>27.94</v>
      </c>
      <c r="P79" s="21">
        <f t="shared" si="40"/>
        <v>1839.348149123917</v>
      </c>
      <c r="Q79" s="29">
        <v>3.56E-2</v>
      </c>
      <c r="R79" s="21">
        <v>500</v>
      </c>
      <c r="S79" s="49">
        <v>3.5</v>
      </c>
      <c r="T79" s="41">
        <f t="shared" si="41"/>
        <v>3.4198461538461538</v>
      </c>
      <c r="U79" s="57">
        <v>10</v>
      </c>
      <c r="V79" s="8">
        <v>43.7</v>
      </c>
      <c r="W79" s="8" t="s">
        <v>456</v>
      </c>
      <c r="X79" s="7">
        <f t="shared" si="42"/>
        <v>1</v>
      </c>
      <c r="Y79" s="8">
        <v>60</v>
      </c>
      <c r="Z79" s="8">
        <v>0.51</v>
      </c>
      <c r="AA79">
        <f t="shared" si="43"/>
        <v>0.88900000000000001</v>
      </c>
      <c r="AB79" s="66">
        <v>67</v>
      </c>
      <c r="AC79">
        <v>1100</v>
      </c>
      <c r="AD79" s="7">
        <f t="shared" si="44"/>
        <v>0.3417</v>
      </c>
      <c r="AE79" s="68">
        <f t="shared" si="26"/>
        <v>120120</v>
      </c>
      <c r="AF79" s="21">
        <f t="shared" si="36"/>
        <v>240.24</v>
      </c>
      <c r="AG79" s="49">
        <v>2.31</v>
      </c>
      <c r="AH79" s="45">
        <f t="shared" si="45"/>
        <v>0.34943890952126977</v>
      </c>
      <c r="AI79" s="45">
        <f t="shared" si="46"/>
        <v>0.6558202678590408</v>
      </c>
      <c r="AJ79" s="68">
        <f t="shared" si="29"/>
        <v>120.12</v>
      </c>
      <c r="AK79" s="21">
        <f t="shared" si="47"/>
        <v>1.5</v>
      </c>
      <c r="AL79" s="68">
        <f t="shared" si="23"/>
        <v>1.4612399999999999</v>
      </c>
      <c r="AM79" s="68">
        <f t="shared" si="38"/>
        <v>120.12</v>
      </c>
      <c r="AN79" s="41">
        <f t="shared" si="48"/>
        <v>2.31</v>
      </c>
      <c r="AO79" s="41">
        <f t="shared" si="49"/>
        <v>0.34943890952126977</v>
      </c>
      <c r="AP79" s="41">
        <f t="shared" si="50"/>
        <v>0.6558202678590408</v>
      </c>
      <c r="AQ79" s="21">
        <f t="shared" si="51"/>
        <v>0.70002202919999978</v>
      </c>
      <c r="AR79" s="21">
        <f t="shared" si="52"/>
        <v>108.0070992</v>
      </c>
      <c r="AS79" s="21">
        <f t="shared" si="53"/>
        <v>108.7071212292</v>
      </c>
      <c r="AT79" s="41">
        <f t="shared" si="54"/>
        <v>3.4807218816183814</v>
      </c>
    </row>
    <row r="80" spans="1:60" x14ac:dyDescent="0.25">
      <c r="B80" t="s">
        <v>121</v>
      </c>
      <c r="C80" s="8">
        <v>200</v>
      </c>
      <c r="D80">
        <v>300</v>
      </c>
      <c r="E80" s="8">
        <v>260</v>
      </c>
      <c r="F80">
        <f t="shared" si="31"/>
        <v>2148.3199999999997</v>
      </c>
      <c r="G80">
        <f t="shared" si="32"/>
        <v>1948.3199999999997</v>
      </c>
      <c r="H80" s="8">
        <v>10</v>
      </c>
      <c r="I80">
        <v>152</v>
      </c>
      <c r="J80" s="8">
        <v>10</v>
      </c>
      <c r="K80">
        <f t="shared" si="33"/>
        <v>200</v>
      </c>
      <c r="L80">
        <f>35.4*25.4</f>
        <v>899.16</v>
      </c>
      <c r="M80">
        <f t="shared" si="39"/>
        <v>889.16</v>
      </c>
      <c r="N80" s="8">
        <v>3</v>
      </c>
      <c r="O80">
        <f>1.1*25.4</f>
        <v>27.94</v>
      </c>
      <c r="P80" s="21">
        <f t="shared" si="40"/>
        <v>1839.348149123917</v>
      </c>
      <c r="Q80" s="29">
        <v>3.56E-2</v>
      </c>
      <c r="R80" s="21">
        <v>500</v>
      </c>
      <c r="S80" s="49">
        <v>3.5</v>
      </c>
      <c r="T80" s="41">
        <f t="shared" si="41"/>
        <v>3.4198461538461538</v>
      </c>
      <c r="U80" s="57">
        <v>10</v>
      </c>
      <c r="V80" s="8">
        <v>48.3</v>
      </c>
      <c r="W80" s="8" t="s">
        <v>456</v>
      </c>
      <c r="X80" s="7">
        <f t="shared" si="42"/>
        <v>1</v>
      </c>
      <c r="Y80" s="8">
        <v>60</v>
      </c>
      <c r="Z80" s="8">
        <v>0.76</v>
      </c>
      <c r="AA80">
        <f t="shared" si="43"/>
        <v>0.88900000000000001</v>
      </c>
      <c r="AB80" s="66">
        <v>67</v>
      </c>
      <c r="AC80">
        <v>1100</v>
      </c>
      <c r="AD80" s="7">
        <f t="shared" si="44"/>
        <v>0.50919999999999999</v>
      </c>
      <c r="AE80" s="68">
        <f t="shared" si="26"/>
        <v>154960</v>
      </c>
      <c r="AF80" s="21">
        <f t="shared" si="36"/>
        <v>309.92</v>
      </c>
      <c r="AG80" s="49">
        <v>2.98</v>
      </c>
      <c r="AH80" s="45">
        <f t="shared" si="45"/>
        <v>0.42878807498637084</v>
      </c>
      <c r="AI80" s="45">
        <f t="shared" si="46"/>
        <v>0.81827739484014794</v>
      </c>
      <c r="AJ80" s="68">
        <f t="shared" si="29"/>
        <v>154.96</v>
      </c>
      <c r="AK80" s="21">
        <f t="shared" si="47"/>
        <v>1.5</v>
      </c>
      <c r="AL80" s="68">
        <f t="shared" si="23"/>
        <v>1.4612399999999999</v>
      </c>
      <c r="AM80" s="68">
        <f t="shared" si="38"/>
        <v>154.96</v>
      </c>
      <c r="AN80" s="41">
        <f t="shared" si="48"/>
        <v>2.98</v>
      </c>
      <c r="AO80" s="41">
        <f t="shared" si="49"/>
        <v>0.42878807498637084</v>
      </c>
      <c r="AP80" s="41">
        <f t="shared" si="50"/>
        <v>0.81827739484014794</v>
      </c>
      <c r="AQ80" s="21">
        <f t="shared" si="51"/>
        <v>0.70002202919999978</v>
      </c>
      <c r="AR80" s="21">
        <f t="shared" si="52"/>
        <v>139.33383360000002</v>
      </c>
      <c r="AS80" s="21">
        <f t="shared" si="53"/>
        <v>140.03385562920002</v>
      </c>
      <c r="AT80" s="41">
        <f t="shared" si="54"/>
        <v>3.4756824497934957</v>
      </c>
    </row>
    <row r="81" spans="1:60" x14ac:dyDescent="0.25">
      <c r="B81" s="11" t="s">
        <v>122</v>
      </c>
      <c r="C81" s="8">
        <v>200</v>
      </c>
      <c r="D81">
        <v>300</v>
      </c>
      <c r="E81" s="8">
        <v>260</v>
      </c>
      <c r="F81">
        <f t="shared" si="31"/>
        <v>2168.6399999999994</v>
      </c>
      <c r="G81">
        <f t="shared" si="32"/>
        <v>1968.6399999999994</v>
      </c>
      <c r="H81" s="8">
        <v>10</v>
      </c>
      <c r="I81">
        <v>152</v>
      </c>
      <c r="J81" s="8">
        <v>10</v>
      </c>
      <c r="K81">
        <f t="shared" si="33"/>
        <v>200</v>
      </c>
      <c r="L81">
        <f>35.8*25.4</f>
        <v>909.31999999999982</v>
      </c>
      <c r="M81">
        <f t="shared" si="39"/>
        <v>899.31999999999982</v>
      </c>
      <c r="N81" s="8">
        <v>3</v>
      </c>
      <c r="O81">
        <f>0.98*25.4</f>
        <v>24.891999999999999</v>
      </c>
      <c r="P81" s="21">
        <f t="shared" si="40"/>
        <v>1459.9255887757106</v>
      </c>
      <c r="Q81" s="29">
        <v>2.8299999999999999E-2</v>
      </c>
      <c r="R81" s="21">
        <v>500</v>
      </c>
      <c r="S81" s="49">
        <v>3.5</v>
      </c>
      <c r="T81" s="41">
        <f t="shared" si="41"/>
        <v>3.4589230769230763</v>
      </c>
      <c r="U81" s="57">
        <v>10</v>
      </c>
      <c r="V81" s="8">
        <v>37.700000000000003</v>
      </c>
      <c r="W81" s="8" t="s">
        <v>456</v>
      </c>
      <c r="X81" s="7">
        <f t="shared" si="42"/>
        <v>1</v>
      </c>
      <c r="Y81" s="8">
        <v>60</v>
      </c>
      <c r="Z81" s="8">
        <v>0.5</v>
      </c>
      <c r="AA81">
        <f t="shared" si="43"/>
        <v>0.88900000000000001</v>
      </c>
      <c r="AB81" s="66">
        <v>67</v>
      </c>
      <c r="AC81">
        <v>1100</v>
      </c>
      <c r="AD81" s="7">
        <f t="shared" si="44"/>
        <v>0.33500000000000002</v>
      </c>
      <c r="AE81" s="68">
        <f t="shared" si="26"/>
        <v>110760</v>
      </c>
      <c r="AF81" s="21">
        <f t="shared" si="36"/>
        <v>221.52</v>
      </c>
      <c r="AG81" s="49">
        <v>2.13</v>
      </c>
      <c r="AH81" s="45">
        <f t="shared" si="45"/>
        <v>0.34690369710672297</v>
      </c>
      <c r="AI81" s="45">
        <f t="shared" si="46"/>
        <v>0.63523217408814237</v>
      </c>
      <c r="AJ81" s="68">
        <f t="shared" si="29"/>
        <v>110.76</v>
      </c>
      <c r="AK81" s="21">
        <f t="shared" si="47"/>
        <v>1.5</v>
      </c>
      <c r="AL81" s="68">
        <f t="shared" si="23"/>
        <v>1.4764799999999996</v>
      </c>
      <c r="AM81" s="68">
        <f t="shared" si="38"/>
        <v>110.76</v>
      </c>
      <c r="AN81" s="41">
        <f t="shared" si="48"/>
        <v>2.13</v>
      </c>
      <c r="AO81" s="41">
        <f t="shared" si="49"/>
        <v>0.34690369710672297</v>
      </c>
      <c r="AP81" s="41">
        <f t="shared" si="50"/>
        <v>0.63523217408814237</v>
      </c>
      <c r="AQ81" s="21">
        <f t="shared" si="51"/>
        <v>0.71494564679999972</v>
      </c>
      <c r="AR81" s="21">
        <f t="shared" si="52"/>
        <v>100.71628319999999</v>
      </c>
      <c r="AS81" s="21">
        <f t="shared" si="53"/>
        <v>101.4312288468</v>
      </c>
      <c r="AT81" s="41">
        <f t="shared" si="54"/>
        <v>3.5222111858904905</v>
      </c>
    </row>
    <row r="82" spans="1:60" x14ac:dyDescent="0.25">
      <c r="B82" t="s">
        <v>123</v>
      </c>
      <c r="C82" s="8">
        <v>200</v>
      </c>
      <c r="D82">
        <v>300</v>
      </c>
      <c r="E82" s="8">
        <v>260</v>
      </c>
      <c r="F82">
        <f t="shared" si="31"/>
        <v>2168.6399999999994</v>
      </c>
      <c r="G82">
        <f t="shared" si="32"/>
        <v>1968.6399999999994</v>
      </c>
      <c r="H82" s="8">
        <v>10</v>
      </c>
      <c r="I82">
        <v>152</v>
      </c>
      <c r="J82" s="8">
        <v>10</v>
      </c>
      <c r="K82">
        <f t="shared" si="33"/>
        <v>200</v>
      </c>
      <c r="L82">
        <f>35.8*25.4</f>
        <v>909.31999999999982</v>
      </c>
      <c r="M82">
        <f t="shared" si="39"/>
        <v>899.31999999999982</v>
      </c>
      <c r="N82" s="8">
        <v>3</v>
      </c>
      <c r="O82">
        <f>0.98*25.4</f>
        <v>24.891999999999999</v>
      </c>
      <c r="P82" s="21">
        <f t="shared" si="40"/>
        <v>1459.9255887757106</v>
      </c>
      <c r="Q82" s="29">
        <v>2.8299999999999999E-2</v>
      </c>
      <c r="R82" s="21">
        <v>500</v>
      </c>
      <c r="S82" s="49">
        <v>3.5</v>
      </c>
      <c r="T82" s="41">
        <f t="shared" si="41"/>
        <v>3.4589230769230763</v>
      </c>
      <c r="U82" s="57">
        <v>10</v>
      </c>
      <c r="V82" s="8">
        <v>38.799999999999997</v>
      </c>
      <c r="W82" s="8" t="s">
        <v>456</v>
      </c>
      <c r="X82" s="7">
        <f t="shared" si="42"/>
        <v>1</v>
      </c>
      <c r="Y82" s="8">
        <v>60</v>
      </c>
      <c r="Z82" s="8">
        <v>0.5</v>
      </c>
      <c r="AA82">
        <f t="shared" si="43"/>
        <v>0.88900000000000001</v>
      </c>
      <c r="AB82" s="66">
        <v>67</v>
      </c>
      <c r="AC82">
        <v>1100</v>
      </c>
      <c r="AD82" s="7">
        <f t="shared" si="44"/>
        <v>0.33500000000000002</v>
      </c>
      <c r="AE82" s="68">
        <f t="shared" si="26"/>
        <v>131559.99999999997</v>
      </c>
      <c r="AF82" s="21">
        <f t="shared" si="36"/>
        <v>263.11999999999995</v>
      </c>
      <c r="AG82" s="49">
        <v>2.5299999999999998</v>
      </c>
      <c r="AH82" s="45">
        <f t="shared" si="45"/>
        <v>0.4061670216604692</v>
      </c>
      <c r="AI82" s="45">
        <f t="shared" si="46"/>
        <v>0.74732574884611902</v>
      </c>
      <c r="AJ82" s="68">
        <f t="shared" si="29"/>
        <v>131.55999999999997</v>
      </c>
      <c r="AK82" s="21">
        <f t="shared" si="47"/>
        <v>1.5</v>
      </c>
      <c r="AL82" s="68">
        <f t="shared" si="23"/>
        <v>1.4764799999999996</v>
      </c>
      <c r="AM82" s="68">
        <f t="shared" si="38"/>
        <v>131.55999999999997</v>
      </c>
      <c r="AN82" s="41">
        <f t="shared" si="48"/>
        <v>2.5299999999999994</v>
      </c>
      <c r="AO82" s="41">
        <f t="shared" si="49"/>
        <v>0.40616702166046914</v>
      </c>
      <c r="AP82" s="41">
        <f t="shared" si="50"/>
        <v>0.74732574884611891</v>
      </c>
      <c r="AQ82" s="21">
        <f t="shared" si="51"/>
        <v>0.71494564679999972</v>
      </c>
      <c r="AR82" s="21">
        <f t="shared" si="52"/>
        <v>119.63013919999995</v>
      </c>
      <c r="AS82" s="21">
        <f t="shared" si="53"/>
        <v>120.34508484679995</v>
      </c>
      <c r="AT82" s="41">
        <f t="shared" si="54"/>
        <v>3.5182860364033957</v>
      </c>
    </row>
    <row r="83" spans="1:60" x14ac:dyDescent="0.25">
      <c r="B83" s="11" t="s">
        <v>124</v>
      </c>
      <c r="C83" s="8">
        <v>200</v>
      </c>
      <c r="D83">
        <v>600</v>
      </c>
      <c r="E83" s="8">
        <v>540</v>
      </c>
      <c r="F83">
        <f t="shared" si="31"/>
        <v>4129.5200000000004</v>
      </c>
      <c r="G83">
        <f t="shared" si="32"/>
        <v>3929.5200000000004</v>
      </c>
      <c r="H83" s="8">
        <v>10</v>
      </c>
      <c r="I83">
        <v>152</v>
      </c>
      <c r="J83" s="8">
        <v>10</v>
      </c>
      <c r="K83">
        <f t="shared" si="33"/>
        <v>200</v>
      </c>
      <c r="L83">
        <f>74.4*25.4</f>
        <v>1889.76</v>
      </c>
      <c r="M83">
        <f t="shared" si="39"/>
        <v>1879.76</v>
      </c>
      <c r="N83" s="8">
        <v>6</v>
      </c>
      <c r="O83">
        <f>0.98*25.4</f>
        <v>24.891999999999999</v>
      </c>
      <c r="P83" s="21">
        <f t="shared" si="40"/>
        <v>2919.8511775514212</v>
      </c>
      <c r="Q83" s="29">
        <v>2.7300000000000001E-2</v>
      </c>
      <c r="R83" s="21">
        <v>500</v>
      </c>
      <c r="S83" s="49">
        <v>3.5</v>
      </c>
      <c r="T83" s="41">
        <f t="shared" si="41"/>
        <v>3.4810370370370372</v>
      </c>
      <c r="U83" s="57">
        <v>10</v>
      </c>
      <c r="V83" s="8">
        <v>37.700000000000003</v>
      </c>
      <c r="W83" s="8" t="s">
        <v>456</v>
      </c>
      <c r="X83" s="7">
        <f t="shared" si="42"/>
        <v>1</v>
      </c>
      <c r="Y83" s="8">
        <v>60</v>
      </c>
      <c r="Z83" s="8">
        <v>0.25</v>
      </c>
      <c r="AA83">
        <f t="shared" si="43"/>
        <v>0.88900000000000001</v>
      </c>
      <c r="AB83" s="66">
        <v>67</v>
      </c>
      <c r="AC83">
        <v>1100</v>
      </c>
      <c r="AD83" s="7">
        <f t="shared" si="44"/>
        <v>0.16750000000000001</v>
      </c>
      <c r="AE83" s="68">
        <f t="shared" si="26"/>
        <v>153360</v>
      </c>
      <c r="AF83" s="21">
        <f t="shared" si="36"/>
        <v>306.72000000000003</v>
      </c>
      <c r="AG83" s="49">
        <v>1.42</v>
      </c>
      <c r="AH83" s="45">
        <f t="shared" si="45"/>
        <v>0.23126913140448196</v>
      </c>
      <c r="AI83" s="45">
        <f t="shared" si="46"/>
        <v>0.42348811605876163</v>
      </c>
      <c r="AJ83" s="68">
        <f t="shared" si="29"/>
        <v>153.36000000000001</v>
      </c>
      <c r="AK83" s="21">
        <f t="shared" si="47"/>
        <v>3</v>
      </c>
      <c r="AL83" s="68">
        <f t="shared" si="23"/>
        <v>5.8942800000000011</v>
      </c>
      <c r="AM83" s="68">
        <f t="shared" si="38"/>
        <v>153.36000000000001</v>
      </c>
      <c r="AN83" s="41">
        <f t="shared" si="48"/>
        <v>1.42</v>
      </c>
      <c r="AO83" s="41">
        <f t="shared" si="49"/>
        <v>0.23126913140448196</v>
      </c>
      <c r="AP83" s="41">
        <f t="shared" si="50"/>
        <v>0.42348811605876163</v>
      </c>
      <c r="AQ83" s="21">
        <f t="shared" si="51"/>
        <v>5.7669852864000006</v>
      </c>
      <c r="AR83" s="21">
        <f t="shared" si="52"/>
        <v>289.81359360000005</v>
      </c>
      <c r="AS83" s="21">
        <f t="shared" si="53"/>
        <v>295.58057888640008</v>
      </c>
      <c r="AT83" s="41">
        <f t="shared" si="54"/>
        <v>3.569193025444851</v>
      </c>
    </row>
    <row r="84" spans="1:60" x14ac:dyDescent="0.25">
      <c r="B84" t="s">
        <v>125</v>
      </c>
      <c r="C84" s="8">
        <v>200</v>
      </c>
      <c r="D84">
        <v>600</v>
      </c>
      <c r="E84" s="8">
        <v>560</v>
      </c>
      <c r="F84">
        <f t="shared" si="31"/>
        <v>4129.5200000000004</v>
      </c>
      <c r="G84">
        <f t="shared" si="32"/>
        <v>3929.5200000000004</v>
      </c>
      <c r="H84" s="8">
        <v>10</v>
      </c>
      <c r="I84">
        <v>152</v>
      </c>
      <c r="J84" s="8">
        <v>10</v>
      </c>
      <c r="K84">
        <f t="shared" si="33"/>
        <v>200</v>
      </c>
      <c r="L84">
        <f>74.4*25.4</f>
        <v>1889.76</v>
      </c>
      <c r="M84">
        <f t="shared" si="39"/>
        <v>1879.76</v>
      </c>
      <c r="N84" s="8">
        <v>6</v>
      </c>
      <c r="O84">
        <f>0.98*25.4</f>
        <v>24.891999999999999</v>
      </c>
      <c r="P84" s="21">
        <f t="shared" si="40"/>
        <v>2919.8511775514212</v>
      </c>
      <c r="Q84" s="29">
        <v>2.7300000000000001E-2</v>
      </c>
      <c r="R84" s="21">
        <v>500</v>
      </c>
      <c r="S84" s="49">
        <v>3.5</v>
      </c>
      <c r="T84" s="41">
        <f t="shared" si="41"/>
        <v>3.3567142857142858</v>
      </c>
      <c r="U84" s="57">
        <v>10</v>
      </c>
      <c r="V84" s="8">
        <v>38.799999999999997</v>
      </c>
      <c r="W84" s="8" t="s">
        <v>456</v>
      </c>
      <c r="X84" s="7">
        <f t="shared" si="42"/>
        <v>1</v>
      </c>
      <c r="Y84" s="8">
        <v>60</v>
      </c>
      <c r="Z84" s="8">
        <v>0.5</v>
      </c>
      <c r="AA84">
        <f t="shared" si="43"/>
        <v>0.88900000000000001</v>
      </c>
      <c r="AB84" s="66">
        <v>67</v>
      </c>
      <c r="AC84">
        <v>1100</v>
      </c>
      <c r="AD84" s="7">
        <f t="shared" si="44"/>
        <v>0.33500000000000002</v>
      </c>
      <c r="AE84" s="68">
        <f t="shared" si="26"/>
        <v>229599.99999999997</v>
      </c>
      <c r="AF84" s="21">
        <f t="shared" si="36"/>
        <v>459.19999999999993</v>
      </c>
      <c r="AG84" s="49">
        <v>2.0499999999999998</v>
      </c>
      <c r="AH84" s="45">
        <f t="shared" si="45"/>
        <v>0.32910766577231693</v>
      </c>
      <c r="AI84" s="45">
        <f t="shared" si="46"/>
        <v>0.60554062653539287</v>
      </c>
      <c r="AJ84" s="68">
        <f t="shared" si="29"/>
        <v>229.59999999999997</v>
      </c>
      <c r="AK84" s="21">
        <f t="shared" si="47"/>
        <v>3</v>
      </c>
      <c r="AL84" s="68">
        <f t="shared" si="23"/>
        <v>5.8942800000000011</v>
      </c>
      <c r="AM84" s="68">
        <f t="shared" si="38"/>
        <v>229.59999999999997</v>
      </c>
      <c r="AN84" s="41">
        <f t="shared" si="48"/>
        <v>2.0499999999999998</v>
      </c>
      <c r="AO84" s="41">
        <f t="shared" si="49"/>
        <v>0.32910766577231693</v>
      </c>
      <c r="AP84" s="41">
        <f t="shared" si="50"/>
        <v>0.60554062653539287</v>
      </c>
      <c r="AQ84" s="21">
        <f t="shared" si="51"/>
        <v>5.7669852864000006</v>
      </c>
      <c r="AR84" s="21">
        <f t="shared" si="52"/>
        <v>433.88889599999993</v>
      </c>
      <c r="AS84" s="21">
        <f t="shared" si="53"/>
        <v>439.6558812863999</v>
      </c>
      <c r="AT84" s="41">
        <f t="shared" si="54"/>
        <v>3.4194241638128418</v>
      </c>
    </row>
    <row r="85" spans="1:60" x14ac:dyDescent="0.25">
      <c r="B85" s="11" t="s">
        <v>126</v>
      </c>
      <c r="C85" s="8">
        <v>200</v>
      </c>
      <c r="D85">
        <v>300</v>
      </c>
      <c r="E85" s="8">
        <v>260</v>
      </c>
      <c r="F85">
        <f t="shared" si="31"/>
        <v>2453.12</v>
      </c>
      <c r="G85">
        <f t="shared" si="32"/>
        <v>2253.12</v>
      </c>
      <c r="H85" s="8">
        <v>10</v>
      </c>
      <c r="I85">
        <v>152</v>
      </c>
      <c r="J85" s="8">
        <v>10</v>
      </c>
      <c r="K85">
        <f t="shared" si="33"/>
        <v>200</v>
      </c>
      <c r="L85">
        <f>41.4*25.4</f>
        <v>1051.56</v>
      </c>
      <c r="M85">
        <f t="shared" si="39"/>
        <v>1041.56</v>
      </c>
      <c r="N85" s="8">
        <v>3</v>
      </c>
      <c r="O85">
        <f>0.79*25.4</f>
        <v>20.065999999999999</v>
      </c>
      <c r="P85" s="21">
        <f t="shared" si="40"/>
        <v>948.70841311424488</v>
      </c>
      <c r="Q85" s="29">
        <v>1.8100000000000002E-2</v>
      </c>
      <c r="R85" s="21">
        <v>500</v>
      </c>
      <c r="S85" s="49">
        <v>4</v>
      </c>
      <c r="T85" s="41">
        <f t="shared" si="41"/>
        <v>4.0060000000000002</v>
      </c>
      <c r="U85" s="57">
        <v>10</v>
      </c>
      <c r="V85" s="8">
        <v>41.2</v>
      </c>
      <c r="W85" s="8" t="s">
        <v>456</v>
      </c>
      <c r="X85" s="7">
        <f t="shared" si="42"/>
        <v>1</v>
      </c>
      <c r="Y85" s="8">
        <v>60</v>
      </c>
      <c r="Z85" s="8">
        <v>0.25</v>
      </c>
      <c r="AA85">
        <f t="shared" si="43"/>
        <v>0.88900000000000001</v>
      </c>
      <c r="AB85" s="66">
        <v>67</v>
      </c>
      <c r="AC85">
        <v>1100</v>
      </c>
      <c r="AD85" s="7">
        <f t="shared" si="44"/>
        <v>0.16750000000000001</v>
      </c>
      <c r="AE85" s="68">
        <f t="shared" si="26"/>
        <v>82160</v>
      </c>
      <c r="AF85" s="21">
        <f t="shared" si="36"/>
        <v>164.32</v>
      </c>
      <c r="AG85" s="49">
        <v>1.58</v>
      </c>
      <c r="AH85" s="45">
        <f t="shared" si="45"/>
        <v>0.24615489637565355</v>
      </c>
      <c r="AI85" s="45">
        <f t="shared" si="46"/>
        <v>0.45746515013043093</v>
      </c>
      <c r="AJ85" s="68">
        <f t="shared" si="29"/>
        <v>82.16</v>
      </c>
      <c r="AK85" s="21">
        <f t="shared" si="47"/>
        <v>1.5</v>
      </c>
      <c r="AL85" s="68">
        <f t="shared" si="23"/>
        <v>1.6898400000000002</v>
      </c>
      <c r="AM85" s="68">
        <f t="shared" si="38"/>
        <v>82.16</v>
      </c>
      <c r="AN85" s="41">
        <f t="shared" si="48"/>
        <v>1.58</v>
      </c>
      <c r="AO85" s="41">
        <f t="shared" si="49"/>
        <v>0.24615489637565355</v>
      </c>
      <c r="AP85" s="41">
        <f t="shared" si="50"/>
        <v>0.45746515013043093</v>
      </c>
      <c r="AQ85" s="21">
        <f t="shared" si="51"/>
        <v>0.9401343251999994</v>
      </c>
      <c r="AR85" s="21">
        <f t="shared" si="52"/>
        <v>86.396169599999993</v>
      </c>
      <c r="AS85" s="21">
        <f t="shared" si="53"/>
        <v>87.336303925199999</v>
      </c>
      <c r="AT85" s="41">
        <f t="shared" si="54"/>
        <v>4.0884720210658383</v>
      </c>
    </row>
    <row r="86" spans="1:60" x14ac:dyDescent="0.25">
      <c r="A86" s="1"/>
      <c r="B86" s="1" t="s">
        <v>127</v>
      </c>
      <c r="C86" s="9">
        <v>200</v>
      </c>
      <c r="D86" s="1">
        <v>300</v>
      </c>
      <c r="E86" s="9">
        <v>260</v>
      </c>
      <c r="F86" s="1">
        <f t="shared" si="31"/>
        <v>2453.12</v>
      </c>
      <c r="G86" s="1">
        <f t="shared" si="32"/>
        <v>2253.12</v>
      </c>
      <c r="H86" s="8">
        <v>10</v>
      </c>
      <c r="I86" s="1">
        <v>152</v>
      </c>
      <c r="J86" s="8">
        <v>10</v>
      </c>
      <c r="K86">
        <f t="shared" si="33"/>
        <v>200</v>
      </c>
      <c r="L86">
        <f>41.4*25.4</f>
        <v>1051.56</v>
      </c>
      <c r="M86" s="1">
        <f t="shared" si="39"/>
        <v>1041.56</v>
      </c>
      <c r="N86" s="1">
        <v>3</v>
      </c>
      <c r="O86" s="1">
        <f>0.79*25.4</f>
        <v>20.065999999999999</v>
      </c>
      <c r="P86" s="27">
        <f t="shared" si="40"/>
        <v>948.70841311424488</v>
      </c>
      <c r="Q86" s="36">
        <v>1.8100000000000002E-2</v>
      </c>
      <c r="R86" s="27">
        <v>500</v>
      </c>
      <c r="S86" s="50">
        <v>4</v>
      </c>
      <c r="T86" s="48">
        <f t="shared" si="41"/>
        <v>4.0060000000000002</v>
      </c>
      <c r="U86" s="58">
        <v>10</v>
      </c>
      <c r="V86" s="9">
        <v>40.299999999999997</v>
      </c>
      <c r="W86" s="9" t="s">
        <v>456</v>
      </c>
      <c r="X86" s="7">
        <f t="shared" si="42"/>
        <v>1</v>
      </c>
      <c r="Y86" s="9">
        <v>60</v>
      </c>
      <c r="Z86" s="9">
        <v>0.76</v>
      </c>
      <c r="AA86" s="1">
        <f t="shared" si="43"/>
        <v>0.88900000000000001</v>
      </c>
      <c r="AB86" s="67">
        <v>67</v>
      </c>
      <c r="AC86" s="1">
        <v>1100</v>
      </c>
      <c r="AD86" s="7">
        <f t="shared" si="44"/>
        <v>0.50919999999999999</v>
      </c>
      <c r="AE86" s="69">
        <f t="shared" si="26"/>
        <v>117000</v>
      </c>
      <c r="AF86" s="27">
        <f t="shared" si="36"/>
        <v>234</v>
      </c>
      <c r="AG86" s="50">
        <v>2.25</v>
      </c>
      <c r="AH86" s="45">
        <f t="shared" si="45"/>
        <v>0.35442960851844896</v>
      </c>
      <c r="AI86" s="45">
        <f t="shared" si="46"/>
        <v>0.65626740724576293</v>
      </c>
      <c r="AJ86" s="69">
        <f t="shared" si="29"/>
        <v>117</v>
      </c>
      <c r="AK86" s="21">
        <f t="shared" si="47"/>
        <v>1.5</v>
      </c>
      <c r="AL86" s="69">
        <f t="shared" si="23"/>
        <v>1.6898400000000002</v>
      </c>
      <c r="AM86" s="69">
        <f t="shared" si="38"/>
        <v>117</v>
      </c>
      <c r="AN86" s="41">
        <f t="shared" si="48"/>
        <v>2.25</v>
      </c>
      <c r="AO86" s="41">
        <f t="shared" si="49"/>
        <v>0.35442960851844896</v>
      </c>
      <c r="AP86" s="41">
        <f t="shared" si="50"/>
        <v>0.65626740724576293</v>
      </c>
      <c r="AQ86" s="21">
        <f t="shared" si="51"/>
        <v>0.9401343251999994</v>
      </c>
      <c r="AR86" s="21">
        <f t="shared" si="52"/>
        <v>123.03251999999999</v>
      </c>
      <c r="AS86" s="21">
        <f t="shared" si="53"/>
        <v>123.9726543252</v>
      </c>
      <c r="AT86" s="41">
        <f t="shared" si="54"/>
        <v>4.0753666773570014</v>
      </c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</row>
    <row r="87" spans="1:60" x14ac:dyDescent="0.25">
      <c r="A87" t="s">
        <v>8</v>
      </c>
      <c r="B87" s="11" t="s">
        <v>128</v>
      </c>
      <c r="C87" s="8">
        <v>150</v>
      </c>
      <c r="D87">
        <v>250</v>
      </c>
      <c r="E87" s="8">
        <v>217</v>
      </c>
      <c r="F87">
        <v>1400</v>
      </c>
      <c r="G87">
        <f>F87-250</f>
        <v>1150</v>
      </c>
      <c r="H87">
        <v>100</v>
      </c>
      <c r="I87">
        <v>150</v>
      </c>
      <c r="J87">
        <v>100</v>
      </c>
      <c r="K87">
        <v>150</v>
      </c>
      <c r="L87">
        <v>345</v>
      </c>
      <c r="M87">
        <f t="shared" si="39"/>
        <v>245</v>
      </c>
      <c r="N87">
        <v>3</v>
      </c>
      <c r="O87">
        <v>16</v>
      </c>
      <c r="P87" s="21">
        <f t="shared" si="40"/>
        <v>603.18578948924028</v>
      </c>
      <c r="Q87" s="29">
        <f>P87/(C87*E87)</f>
        <v>1.8531053440529657E-2</v>
      </c>
      <c r="R87" s="21">
        <v>522</v>
      </c>
      <c r="S87" s="41">
        <f>L87/E87</f>
        <v>1.5898617511520738</v>
      </c>
      <c r="T87" s="41">
        <f>M87/E87</f>
        <v>1.1290322580645162</v>
      </c>
      <c r="U87" s="57">
        <v>10</v>
      </c>
      <c r="V87" s="8">
        <v>35</v>
      </c>
      <c r="W87" s="8" t="s">
        <v>456</v>
      </c>
      <c r="X87" s="7">
        <f t="shared" si="42"/>
        <v>1</v>
      </c>
      <c r="Y87" s="8">
        <v>60</v>
      </c>
      <c r="Z87" s="8">
        <v>0.75</v>
      </c>
      <c r="AA87" s="8">
        <v>0.75</v>
      </c>
      <c r="AB87" s="66">
        <v>80</v>
      </c>
      <c r="AC87" s="8">
        <v>1100</v>
      </c>
      <c r="AD87" s="7">
        <f t="shared" si="44"/>
        <v>0.6</v>
      </c>
      <c r="AE87" s="68">
        <f t="shared" si="26"/>
        <v>148000</v>
      </c>
      <c r="AF87" s="66">
        <v>296</v>
      </c>
      <c r="AG87" s="41">
        <f t="shared" ref="AG87:AG100" si="55">AM87/(C87*E87/1000)</f>
        <v>4.5634120583717364</v>
      </c>
      <c r="AH87" s="45">
        <f t="shared" si="45"/>
        <v>0.77135742344245817</v>
      </c>
      <c r="AI87" s="45">
        <f t="shared" si="46"/>
        <v>1.3950839346049939</v>
      </c>
      <c r="AJ87" s="68">
        <f>AF87/2</f>
        <v>148</v>
      </c>
      <c r="AK87" s="21">
        <f t="shared" si="47"/>
        <v>0.9375</v>
      </c>
      <c r="AL87" s="70">
        <f t="shared" si="23"/>
        <v>0.5390625</v>
      </c>
      <c r="AM87" s="68">
        <f>AJ87+AL87</f>
        <v>148.5390625</v>
      </c>
      <c r="AN87" s="41">
        <f t="shared" si="48"/>
        <v>4.5634120583717355</v>
      </c>
      <c r="AO87" s="41">
        <f t="shared" si="49"/>
        <v>0.77135742344245795</v>
      </c>
      <c r="AP87" s="41">
        <f t="shared" si="50"/>
        <v>1.3950839346049937</v>
      </c>
      <c r="AQ87" s="21">
        <f t="shared" si="51"/>
        <v>0.12285937500000001</v>
      </c>
      <c r="AR87" s="21">
        <f t="shared" si="52"/>
        <v>51.06</v>
      </c>
      <c r="AS87" s="21">
        <f t="shared" si="53"/>
        <v>51.182859375</v>
      </c>
      <c r="AT87" s="41">
        <f t="shared" si="54"/>
        <v>1.587903595429855</v>
      </c>
    </row>
    <row r="88" spans="1:60" x14ac:dyDescent="0.25">
      <c r="A88">
        <v>2016</v>
      </c>
      <c r="B88" s="4" t="s">
        <v>129</v>
      </c>
      <c r="C88" s="8">
        <v>150</v>
      </c>
      <c r="D88">
        <v>250</v>
      </c>
      <c r="E88" s="8">
        <v>217</v>
      </c>
      <c r="F88">
        <v>1850</v>
      </c>
      <c r="G88">
        <f>F88-250</f>
        <v>1600</v>
      </c>
      <c r="H88">
        <v>100</v>
      </c>
      <c r="I88">
        <v>150</v>
      </c>
      <c r="J88">
        <v>100</v>
      </c>
      <c r="K88">
        <v>150</v>
      </c>
      <c r="L88">
        <v>535</v>
      </c>
      <c r="M88">
        <f t="shared" si="39"/>
        <v>435</v>
      </c>
      <c r="N88">
        <v>3</v>
      </c>
      <c r="O88">
        <v>16</v>
      </c>
      <c r="P88" s="21">
        <f t="shared" si="40"/>
        <v>603.18578948924028</v>
      </c>
      <c r="Q88" s="29">
        <f t="shared" ref="Q88:Q151" si="56">P88/(C88*E88)</f>
        <v>1.8531053440529657E-2</v>
      </c>
      <c r="R88" s="21">
        <v>522</v>
      </c>
      <c r="S88" s="41">
        <f t="shared" ref="S88:S151" si="57">L88/E88</f>
        <v>2.4654377880184333</v>
      </c>
      <c r="T88" s="41">
        <f t="shared" ref="T88:T151" si="58">M88/E88</f>
        <v>2.0046082949308754</v>
      </c>
      <c r="U88" s="57">
        <v>10</v>
      </c>
      <c r="V88" s="8">
        <v>35</v>
      </c>
      <c r="W88" s="8" t="s">
        <v>456</v>
      </c>
      <c r="X88" s="7">
        <f t="shared" si="42"/>
        <v>1</v>
      </c>
      <c r="Y88" s="8">
        <v>60</v>
      </c>
      <c r="Z88" s="8">
        <v>0.75</v>
      </c>
      <c r="AA88" s="8">
        <v>0.75</v>
      </c>
      <c r="AB88" s="66">
        <v>80</v>
      </c>
      <c r="AC88" s="8">
        <v>1100</v>
      </c>
      <c r="AD88" s="7">
        <f t="shared" si="44"/>
        <v>0.6</v>
      </c>
      <c r="AE88" s="68">
        <f t="shared" si="26"/>
        <v>98000</v>
      </c>
      <c r="AF88" s="66">
        <v>196</v>
      </c>
      <c r="AG88" s="41">
        <f t="shared" si="55"/>
        <v>3.0337941628264211</v>
      </c>
      <c r="AH88" s="45">
        <f t="shared" si="45"/>
        <v>0.51280480893665759</v>
      </c>
      <c r="AI88" s="45">
        <f t="shared" si="46"/>
        <v>0.92746336366733939</v>
      </c>
      <c r="AJ88" s="68">
        <f>AF88/2</f>
        <v>98</v>
      </c>
      <c r="AK88" s="21">
        <f t="shared" si="47"/>
        <v>0.9375</v>
      </c>
      <c r="AL88" s="68">
        <f t="shared" si="23"/>
        <v>0.74999999999999989</v>
      </c>
      <c r="AM88" s="68">
        <f t="shared" ref="AM88:AM151" si="59">AJ88+AL88</f>
        <v>98.75</v>
      </c>
      <c r="AN88" s="41">
        <f t="shared" si="48"/>
        <v>3.0337941628264207</v>
      </c>
      <c r="AO88" s="41">
        <f t="shared" si="49"/>
        <v>0.51280480893665747</v>
      </c>
      <c r="AP88" s="41">
        <f t="shared" si="50"/>
        <v>0.92746336366733928</v>
      </c>
      <c r="AQ88" s="21">
        <f t="shared" si="51"/>
        <v>0.25975781249999996</v>
      </c>
      <c r="AR88" s="21">
        <f t="shared" si="52"/>
        <v>52.43</v>
      </c>
      <c r="AS88" s="21">
        <f t="shared" si="53"/>
        <v>52.689757812499998</v>
      </c>
      <c r="AT88" s="41">
        <f t="shared" si="54"/>
        <v>2.4588348742927142</v>
      </c>
    </row>
    <row r="89" spans="1:60" x14ac:dyDescent="0.25">
      <c r="A89" s="1"/>
      <c r="B89" s="12" t="s">
        <v>130</v>
      </c>
      <c r="C89" s="9">
        <v>150</v>
      </c>
      <c r="D89" s="1">
        <v>250</v>
      </c>
      <c r="E89" s="9">
        <v>217</v>
      </c>
      <c r="F89" s="1">
        <v>2000</v>
      </c>
      <c r="G89" s="1">
        <f>F89-250</f>
        <v>1750</v>
      </c>
      <c r="H89" s="1">
        <v>100</v>
      </c>
      <c r="I89" s="1">
        <v>150</v>
      </c>
      <c r="J89" s="1">
        <v>100</v>
      </c>
      <c r="K89" s="1">
        <v>150</v>
      </c>
      <c r="L89" s="1">
        <v>640</v>
      </c>
      <c r="M89" s="1">
        <f t="shared" si="39"/>
        <v>540</v>
      </c>
      <c r="N89" s="1">
        <v>3</v>
      </c>
      <c r="O89" s="1">
        <v>16</v>
      </c>
      <c r="P89" s="27">
        <f t="shared" si="40"/>
        <v>603.18578948924028</v>
      </c>
      <c r="Q89" s="36">
        <f t="shared" si="56"/>
        <v>1.8531053440529657E-2</v>
      </c>
      <c r="R89" s="27">
        <v>522</v>
      </c>
      <c r="S89" s="48">
        <f t="shared" si="57"/>
        <v>2.9493087557603688</v>
      </c>
      <c r="T89" s="48">
        <f t="shared" si="58"/>
        <v>2.4884792626728109</v>
      </c>
      <c r="U89" s="58">
        <v>10</v>
      </c>
      <c r="V89" s="9">
        <v>35</v>
      </c>
      <c r="W89" s="9" t="s">
        <v>456</v>
      </c>
      <c r="X89" s="7">
        <f t="shared" si="42"/>
        <v>1</v>
      </c>
      <c r="Y89" s="9">
        <v>60</v>
      </c>
      <c r="Z89" s="9">
        <v>0.75</v>
      </c>
      <c r="AA89" s="9">
        <v>0.75</v>
      </c>
      <c r="AB89" s="67">
        <v>80</v>
      </c>
      <c r="AC89" s="9">
        <v>1100</v>
      </c>
      <c r="AD89" s="7">
        <f t="shared" si="44"/>
        <v>0.6</v>
      </c>
      <c r="AE89" s="69">
        <f t="shared" si="26"/>
        <v>84000</v>
      </c>
      <c r="AF89" s="67">
        <v>168</v>
      </c>
      <c r="AG89" s="41">
        <f t="shared" si="55"/>
        <v>2.6058467741935485</v>
      </c>
      <c r="AH89" s="45">
        <f t="shared" si="45"/>
        <v>0.44046849767605151</v>
      </c>
      <c r="AI89" s="45">
        <f t="shared" si="46"/>
        <v>0.79663526418799868</v>
      </c>
      <c r="AJ89" s="69">
        <f>AF89/2</f>
        <v>84</v>
      </c>
      <c r="AK89" s="21">
        <f t="shared" si="47"/>
        <v>0.9375</v>
      </c>
      <c r="AL89" s="69">
        <f t="shared" si="23"/>
        <v>0.8203125</v>
      </c>
      <c r="AM89" s="69">
        <f t="shared" si="59"/>
        <v>84.8203125</v>
      </c>
      <c r="AN89" s="41">
        <f t="shared" si="48"/>
        <v>2.6058467741935485</v>
      </c>
      <c r="AO89" s="41">
        <f t="shared" si="49"/>
        <v>0.44046849767605151</v>
      </c>
      <c r="AP89" s="41">
        <f t="shared" si="50"/>
        <v>0.79663526418799868</v>
      </c>
      <c r="AQ89" s="21">
        <f t="shared" si="51"/>
        <v>0.32567578124999996</v>
      </c>
      <c r="AR89" s="21">
        <f t="shared" si="52"/>
        <v>53.76</v>
      </c>
      <c r="AS89" s="21">
        <f t="shared" si="53"/>
        <v>54.085675781249996</v>
      </c>
      <c r="AT89" s="41">
        <f t="shared" si="54"/>
        <v>2.9384794536770218</v>
      </c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</row>
    <row r="90" spans="1:60" x14ac:dyDescent="0.25">
      <c r="A90" t="s">
        <v>9</v>
      </c>
      <c r="B90" s="4" t="s">
        <v>131</v>
      </c>
      <c r="C90" s="8">
        <v>300</v>
      </c>
      <c r="D90" s="4">
        <v>700</v>
      </c>
      <c r="E90" s="8">
        <v>622</v>
      </c>
      <c r="F90" s="4">
        <v>5000</v>
      </c>
      <c r="G90" s="8">
        <v>4500</v>
      </c>
      <c r="H90" s="4">
        <v>200</v>
      </c>
      <c r="I90" s="8">
        <v>350</v>
      </c>
      <c r="J90" s="4">
        <v>200</v>
      </c>
      <c r="K90" s="8">
        <v>350</v>
      </c>
      <c r="L90" s="4">
        <v>1750</v>
      </c>
      <c r="M90" s="4">
        <f t="shared" si="39"/>
        <v>1550</v>
      </c>
      <c r="N90" s="4">
        <v>6</v>
      </c>
      <c r="O90" s="4">
        <v>28</v>
      </c>
      <c r="P90" s="21">
        <f t="shared" si="40"/>
        <v>3694.5129606215969</v>
      </c>
      <c r="Q90" s="29">
        <f t="shared" si="56"/>
        <v>1.9799104826482297E-2</v>
      </c>
      <c r="R90" s="21">
        <v>560</v>
      </c>
      <c r="S90" s="41">
        <f t="shared" si="57"/>
        <v>2.8135048231511255</v>
      </c>
      <c r="T90" s="41">
        <f t="shared" si="58"/>
        <v>2.491961414790997</v>
      </c>
      <c r="U90" s="57">
        <v>10</v>
      </c>
      <c r="V90" s="8">
        <v>34</v>
      </c>
      <c r="W90" s="8" t="s">
        <v>456</v>
      </c>
      <c r="X90" s="7">
        <f t="shared" si="42"/>
        <v>1</v>
      </c>
      <c r="Y90" s="8">
        <v>60</v>
      </c>
      <c r="Z90" s="8">
        <v>0.32100000000000001</v>
      </c>
      <c r="AA90" s="8">
        <v>0.9</v>
      </c>
      <c r="AB90" s="21">
        <v>65</v>
      </c>
      <c r="AC90" s="8">
        <v>2300</v>
      </c>
      <c r="AD90" s="7">
        <f t="shared" si="44"/>
        <v>0.20865000000000003</v>
      </c>
      <c r="AE90" s="70">
        <f t="shared" si="26"/>
        <v>274000</v>
      </c>
      <c r="AF90" s="21">
        <f>AJ90*2</f>
        <v>548</v>
      </c>
      <c r="AG90" s="41">
        <f t="shared" si="55"/>
        <v>1.5316854233654877</v>
      </c>
      <c r="AH90" s="45">
        <f t="shared" si="45"/>
        <v>0.26268188299058576</v>
      </c>
      <c r="AI90" s="45">
        <f t="shared" si="46"/>
        <v>0.4727990627647099</v>
      </c>
      <c r="AJ90" s="21">
        <v>274</v>
      </c>
      <c r="AK90" s="21">
        <f t="shared" si="47"/>
        <v>5.25</v>
      </c>
      <c r="AL90" s="21">
        <f t="shared" si="23"/>
        <v>11.8125</v>
      </c>
      <c r="AM90" s="68">
        <f>AJ90+AL90</f>
        <v>285.8125</v>
      </c>
      <c r="AN90" s="41">
        <f t="shared" si="48"/>
        <v>1.5316854233654877</v>
      </c>
      <c r="AO90" s="41">
        <f t="shared" si="49"/>
        <v>0.26268188299058576</v>
      </c>
      <c r="AP90" s="41">
        <f t="shared" si="50"/>
        <v>0.4727990627647099</v>
      </c>
      <c r="AQ90" s="21">
        <f t="shared" si="51"/>
        <v>12.46875</v>
      </c>
      <c r="AR90" s="21">
        <f t="shared" si="52"/>
        <v>479.5</v>
      </c>
      <c r="AS90" s="21">
        <f t="shared" si="53"/>
        <v>491.96875</v>
      </c>
      <c r="AT90" s="41">
        <f t="shared" si="54"/>
        <v>2.7673616213719141</v>
      </c>
      <c r="AU90" s="19"/>
    </row>
    <row r="91" spans="1:60" x14ac:dyDescent="0.25">
      <c r="A91" s="1">
        <v>2016</v>
      </c>
      <c r="B91" s="12" t="s">
        <v>132</v>
      </c>
      <c r="C91" s="9">
        <v>300</v>
      </c>
      <c r="D91" s="10">
        <v>700</v>
      </c>
      <c r="E91" s="9">
        <v>622</v>
      </c>
      <c r="F91" s="10">
        <v>5000</v>
      </c>
      <c r="G91" s="9">
        <v>4500</v>
      </c>
      <c r="H91" s="10">
        <v>200</v>
      </c>
      <c r="I91" s="9">
        <v>350</v>
      </c>
      <c r="J91" s="10">
        <v>200</v>
      </c>
      <c r="K91" s="9">
        <v>350</v>
      </c>
      <c r="L91" s="10">
        <v>1750</v>
      </c>
      <c r="M91" s="10">
        <f t="shared" si="39"/>
        <v>1550</v>
      </c>
      <c r="N91" s="10">
        <v>6</v>
      </c>
      <c r="O91" s="10">
        <v>28</v>
      </c>
      <c r="P91" s="27">
        <f t="shared" si="40"/>
        <v>3694.5129606215969</v>
      </c>
      <c r="Q91" s="36">
        <f t="shared" si="56"/>
        <v>1.9799104826482297E-2</v>
      </c>
      <c r="R91" s="27">
        <v>560</v>
      </c>
      <c r="S91" s="48">
        <f t="shared" si="57"/>
        <v>2.8135048231511255</v>
      </c>
      <c r="T91" s="48">
        <f t="shared" si="58"/>
        <v>2.491961414790997</v>
      </c>
      <c r="U91" s="1">
        <v>10</v>
      </c>
      <c r="V91" s="9">
        <v>36</v>
      </c>
      <c r="W91" s="9" t="s">
        <v>456</v>
      </c>
      <c r="X91" s="7">
        <f t="shared" si="42"/>
        <v>1</v>
      </c>
      <c r="Y91" s="9">
        <v>60</v>
      </c>
      <c r="Z91" s="9">
        <v>0.68700000000000006</v>
      </c>
      <c r="AA91" s="9">
        <v>0.9</v>
      </c>
      <c r="AB91" s="67">
        <v>65</v>
      </c>
      <c r="AC91" s="9">
        <v>2300</v>
      </c>
      <c r="AD91" s="7">
        <f t="shared" si="44"/>
        <v>0.44655</v>
      </c>
      <c r="AE91" s="69">
        <f t="shared" si="26"/>
        <v>344000</v>
      </c>
      <c r="AF91" s="27">
        <f>AJ91*2</f>
        <v>688</v>
      </c>
      <c r="AG91" s="41">
        <f t="shared" si="55"/>
        <v>1.9068193997856377</v>
      </c>
      <c r="AH91" s="45">
        <f t="shared" si="45"/>
        <v>0.31780323329760629</v>
      </c>
      <c r="AI91" s="45">
        <f t="shared" si="46"/>
        <v>0.57748679969371719</v>
      </c>
      <c r="AJ91" s="27">
        <v>344</v>
      </c>
      <c r="AK91" s="21">
        <f t="shared" si="47"/>
        <v>5.25</v>
      </c>
      <c r="AL91" s="27">
        <f t="shared" si="23"/>
        <v>11.8125</v>
      </c>
      <c r="AM91" s="69">
        <f t="shared" si="59"/>
        <v>355.8125</v>
      </c>
      <c r="AN91" s="41">
        <f t="shared" si="48"/>
        <v>1.9068193997856377</v>
      </c>
      <c r="AO91" s="41">
        <f t="shared" si="49"/>
        <v>0.31780323329760629</v>
      </c>
      <c r="AP91" s="41">
        <f t="shared" si="50"/>
        <v>0.57748679969371719</v>
      </c>
      <c r="AQ91" s="21">
        <f t="shared" si="51"/>
        <v>12.46875</v>
      </c>
      <c r="AR91" s="21">
        <f t="shared" si="52"/>
        <v>602</v>
      </c>
      <c r="AS91" s="21">
        <f t="shared" si="53"/>
        <v>614.46875</v>
      </c>
      <c r="AT91" s="41">
        <f t="shared" si="54"/>
        <v>2.7764395040335539</v>
      </c>
      <c r="AU91" s="10"/>
      <c r="AV91" s="1"/>
      <c r="AW91" s="1"/>
      <c r="AX91" s="1"/>
      <c r="AY91" s="1"/>
      <c r="AZ91" s="1"/>
      <c r="BA91" s="1"/>
      <c r="BB91" s="1"/>
    </row>
    <row r="92" spans="1:60" x14ac:dyDescent="0.25">
      <c r="A92" t="s">
        <v>10</v>
      </c>
      <c r="B92" s="4" t="s">
        <v>133</v>
      </c>
      <c r="C92" s="8">
        <v>100</v>
      </c>
      <c r="D92" s="4">
        <v>150</v>
      </c>
      <c r="E92" s="8">
        <v>135</v>
      </c>
      <c r="F92" s="4">
        <v>1100</v>
      </c>
      <c r="G92" s="8">
        <v>900</v>
      </c>
      <c r="H92" s="4">
        <v>10</v>
      </c>
      <c r="I92" s="8">
        <v>100</v>
      </c>
      <c r="J92" s="4">
        <v>10</v>
      </c>
      <c r="K92" s="8">
        <v>100</v>
      </c>
      <c r="L92" s="4">
        <v>300</v>
      </c>
      <c r="M92" s="4">
        <f t="shared" si="39"/>
        <v>290</v>
      </c>
      <c r="N92" s="4">
        <v>2</v>
      </c>
      <c r="O92" s="4">
        <v>10</v>
      </c>
      <c r="P92" s="21">
        <f t="shared" si="40"/>
        <v>157.07963267948966</v>
      </c>
      <c r="Q92" s="29">
        <f t="shared" si="56"/>
        <v>1.1635528346628864E-2</v>
      </c>
      <c r="R92" s="21">
        <v>500</v>
      </c>
      <c r="S92" s="49">
        <f t="shared" si="57"/>
        <v>2.2222222222222223</v>
      </c>
      <c r="T92" s="49">
        <f t="shared" si="58"/>
        <v>2.1481481481481484</v>
      </c>
      <c r="U92" s="57">
        <v>15</v>
      </c>
      <c r="V92" s="8">
        <v>64.2</v>
      </c>
      <c r="W92" s="8" t="s">
        <v>456</v>
      </c>
      <c r="X92" s="7">
        <f t="shared" si="42"/>
        <v>1</v>
      </c>
      <c r="Y92" s="8">
        <v>35</v>
      </c>
      <c r="Z92" s="8">
        <v>0.5</v>
      </c>
      <c r="AA92" s="8">
        <v>0.54</v>
      </c>
      <c r="AB92" s="66">
        <v>65</v>
      </c>
      <c r="AC92" s="8">
        <v>1100</v>
      </c>
      <c r="AD92" s="7">
        <f t="shared" si="44"/>
        <v>0.32500000000000001</v>
      </c>
      <c r="AE92" s="21">
        <f t="shared" si="26"/>
        <v>42000</v>
      </c>
      <c r="AF92" s="66">
        <f>AJ92*2</f>
        <v>84</v>
      </c>
      <c r="AG92" s="41">
        <f t="shared" si="55"/>
        <v>3.1236111111111113</v>
      </c>
      <c r="AH92" s="45">
        <f t="shared" si="45"/>
        <v>0.38984273475596037</v>
      </c>
      <c r="AI92" s="45">
        <f t="shared" si="46"/>
        <v>0.78009102794345997</v>
      </c>
      <c r="AJ92" s="21">
        <v>42</v>
      </c>
      <c r="AK92" s="21">
        <f t="shared" si="47"/>
        <v>0.375</v>
      </c>
      <c r="AL92" s="21">
        <f t="shared" si="23"/>
        <v>0.16874999999999996</v>
      </c>
      <c r="AM92" s="21">
        <f t="shared" si="59"/>
        <v>42.168750000000003</v>
      </c>
      <c r="AN92" s="41">
        <f t="shared" si="48"/>
        <v>3.1236111111111109</v>
      </c>
      <c r="AO92" s="41">
        <f t="shared" si="49"/>
        <v>0.38984273475596032</v>
      </c>
      <c r="AP92" s="41">
        <f t="shared" si="50"/>
        <v>0.78009102794345986</v>
      </c>
      <c r="AQ92" s="21">
        <f t="shared" si="51"/>
        <v>3.1874999999999994E-2</v>
      </c>
      <c r="AR92" s="21">
        <f t="shared" si="52"/>
        <v>12.6</v>
      </c>
      <c r="AS92" s="21">
        <f t="shared" si="53"/>
        <v>12.631874999999999</v>
      </c>
      <c r="AT92" s="41">
        <f t="shared" si="54"/>
        <v>2.2189285773100798</v>
      </c>
      <c r="AU92" s="4"/>
      <c r="AZ92" s="4"/>
    </row>
    <row r="93" spans="1:60" x14ac:dyDescent="0.25">
      <c r="A93">
        <v>2016</v>
      </c>
      <c r="B93" s="4" t="s">
        <v>133</v>
      </c>
      <c r="C93" s="8">
        <v>100</v>
      </c>
      <c r="D93" s="4">
        <v>150</v>
      </c>
      <c r="E93" s="8">
        <v>135</v>
      </c>
      <c r="F93" s="4">
        <v>1100</v>
      </c>
      <c r="G93" s="8">
        <v>900</v>
      </c>
      <c r="H93" s="4">
        <v>10</v>
      </c>
      <c r="I93" s="8">
        <v>100</v>
      </c>
      <c r="J93" s="4">
        <v>10</v>
      </c>
      <c r="K93" s="8">
        <v>100</v>
      </c>
      <c r="L93" s="4">
        <v>300</v>
      </c>
      <c r="M93" s="4">
        <f t="shared" si="39"/>
        <v>290</v>
      </c>
      <c r="N93" s="4">
        <v>2</v>
      </c>
      <c r="O93" s="4">
        <v>10</v>
      </c>
      <c r="P93" s="21">
        <f t="shared" si="40"/>
        <v>157.07963267948966</v>
      </c>
      <c r="Q93" s="29">
        <f t="shared" si="56"/>
        <v>1.1635528346628864E-2</v>
      </c>
      <c r="R93" s="21">
        <v>500</v>
      </c>
      <c r="S93" s="49">
        <f t="shared" si="57"/>
        <v>2.2222222222222223</v>
      </c>
      <c r="T93" s="49">
        <f t="shared" si="58"/>
        <v>2.1481481481481484</v>
      </c>
      <c r="U93" s="57">
        <v>15</v>
      </c>
      <c r="V93" s="8">
        <v>64.2</v>
      </c>
      <c r="W93" s="8" t="s">
        <v>456</v>
      </c>
      <c r="X93" s="7">
        <f t="shared" si="42"/>
        <v>1</v>
      </c>
      <c r="Y93" s="8">
        <v>35</v>
      </c>
      <c r="Z93" s="8">
        <v>0.5</v>
      </c>
      <c r="AA93" s="8">
        <v>0.54</v>
      </c>
      <c r="AB93" s="66">
        <v>65</v>
      </c>
      <c r="AC93" s="8">
        <v>1100</v>
      </c>
      <c r="AD93" s="7">
        <f t="shared" si="44"/>
        <v>0.32500000000000001</v>
      </c>
      <c r="AE93" s="21">
        <f t="shared" si="26"/>
        <v>44310</v>
      </c>
      <c r="AF93" s="66">
        <f t="shared" ref="AF93:AF100" si="60">AJ93*2</f>
        <v>88.62</v>
      </c>
      <c r="AG93" s="41">
        <f t="shared" si="55"/>
        <v>3.2947222222222226</v>
      </c>
      <c r="AH93" s="45">
        <f t="shared" si="45"/>
        <v>0.41119828163098676</v>
      </c>
      <c r="AI93" s="45">
        <f t="shared" si="46"/>
        <v>0.82282433814472022</v>
      </c>
      <c r="AJ93" s="21">
        <v>44.31</v>
      </c>
      <c r="AK93" s="21">
        <f t="shared" si="47"/>
        <v>0.375</v>
      </c>
      <c r="AL93" s="21">
        <f t="shared" si="23"/>
        <v>0.16874999999999996</v>
      </c>
      <c r="AM93" s="21">
        <f t="shared" si="59"/>
        <v>44.478750000000005</v>
      </c>
      <c r="AN93" s="41">
        <f t="shared" si="48"/>
        <v>3.2947222222222226</v>
      </c>
      <c r="AO93" s="41">
        <f t="shared" si="49"/>
        <v>0.41119828163098676</v>
      </c>
      <c r="AP93" s="41">
        <f t="shared" si="50"/>
        <v>0.82282433814472022</v>
      </c>
      <c r="AQ93" s="21">
        <f t="shared" si="51"/>
        <v>3.1874999999999994E-2</v>
      </c>
      <c r="AR93" s="21">
        <f t="shared" si="52"/>
        <v>13.292999999999999</v>
      </c>
      <c r="AS93" s="21">
        <f t="shared" si="53"/>
        <v>13.324874999999999</v>
      </c>
      <c r="AT93" s="41">
        <f t="shared" si="54"/>
        <v>2.219099632471186</v>
      </c>
      <c r="AU93" s="4"/>
      <c r="AZ93" s="4"/>
    </row>
    <row r="94" spans="1:60" x14ac:dyDescent="0.25">
      <c r="B94" s="4" t="s">
        <v>133</v>
      </c>
      <c r="C94" s="8">
        <v>100</v>
      </c>
      <c r="D94" s="4">
        <v>150</v>
      </c>
      <c r="E94" s="8">
        <v>135</v>
      </c>
      <c r="F94" s="4">
        <v>1100</v>
      </c>
      <c r="G94" s="8">
        <v>900</v>
      </c>
      <c r="H94" s="4">
        <v>10</v>
      </c>
      <c r="I94" s="8">
        <v>100</v>
      </c>
      <c r="J94" s="4">
        <v>10</v>
      </c>
      <c r="K94" s="8">
        <v>100</v>
      </c>
      <c r="L94" s="4">
        <v>300</v>
      </c>
      <c r="M94" s="4">
        <f t="shared" si="39"/>
        <v>290</v>
      </c>
      <c r="N94" s="4">
        <v>2</v>
      </c>
      <c r="O94" s="4">
        <v>10</v>
      </c>
      <c r="P94" s="21">
        <f t="shared" si="40"/>
        <v>157.07963267948966</v>
      </c>
      <c r="Q94" s="29">
        <f t="shared" si="56"/>
        <v>1.1635528346628864E-2</v>
      </c>
      <c r="R94" s="21">
        <v>500</v>
      </c>
      <c r="S94" s="49">
        <f t="shared" si="57"/>
        <v>2.2222222222222223</v>
      </c>
      <c r="T94" s="49">
        <f t="shared" si="58"/>
        <v>2.1481481481481484</v>
      </c>
      <c r="U94" s="57">
        <v>15</v>
      </c>
      <c r="V94" s="8">
        <v>64.2</v>
      </c>
      <c r="W94" s="8" t="s">
        <v>456</v>
      </c>
      <c r="X94" s="7">
        <f t="shared" si="42"/>
        <v>1</v>
      </c>
      <c r="Y94" s="8">
        <v>35</v>
      </c>
      <c r="Z94" s="8">
        <v>0.5</v>
      </c>
      <c r="AA94" s="8">
        <v>0.54</v>
      </c>
      <c r="AB94" s="66">
        <v>65</v>
      </c>
      <c r="AC94" s="8">
        <v>1100</v>
      </c>
      <c r="AD94" s="7">
        <f t="shared" si="44"/>
        <v>0.32500000000000001</v>
      </c>
      <c r="AE94" s="21">
        <f t="shared" si="26"/>
        <v>43020</v>
      </c>
      <c r="AF94" s="66">
        <f t="shared" si="60"/>
        <v>86.04</v>
      </c>
      <c r="AG94" s="41">
        <f t="shared" si="55"/>
        <v>3.1991666666666672</v>
      </c>
      <c r="AH94" s="45">
        <f t="shared" si="45"/>
        <v>0.39927245675272527</v>
      </c>
      <c r="AI94" s="45">
        <f t="shared" si="46"/>
        <v>0.79896028179856193</v>
      </c>
      <c r="AJ94" s="21">
        <v>43.02</v>
      </c>
      <c r="AK94" s="21">
        <f t="shared" si="47"/>
        <v>0.375</v>
      </c>
      <c r="AL94" s="21">
        <f t="shared" si="23"/>
        <v>0.16874999999999996</v>
      </c>
      <c r="AM94" s="21">
        <f t="shared" si="59"/>
        <v>43.188750000000006</v>
      </c>
      <c r="AN94" s="41">
        <f t="shared" si="48"/>
        <v>3.1991666666666672</v>
      </c>
      <c r="AO94" s="41">
        <f t="shared" si="49"/>
        <v>0.39927245675272527</v>
      </c>
      <c r="AP94" s="41">
        <f t="shared" si="50"/>
        <v>0.79896028179856193</v>
      </c>
      <c r="AQ94" s="21">
        <f t="shared" si="51"/>
        <v>3.1874999999999994E-2</v>
      </c>
      <c r="AR94" s="21">
        <f t="shared" si="52"/>
        <v>12.906000000000002</v>
      </c>
      <c r="AS94" s="21">
        <f t="shared" si="53"/>
        <v>12.937875000000002</v>
      </c>
      <c r="AT94" s="41">
        <f t="shared" si="54"/>
        <v>2.2190063641830595</v>
      </c>
      <c r="AU94" s="4"/>
      <c r="AZ94" s="4"/>
    </row>
    <row r="95" spans="1:60" x14ac:dyDescent="0.25">
      <c r="B95" s="13" t="s">
        <v>134</v>
      </c>
      <c r="C95" s="8">
        <v>100</v>
      </c>
      <c r="D95" s="4">
        <v>150</v>
      </c>
      <c r="E95" s="8">
        <v>135</v>
      </c>
      <c r="F95" s="4">
        <v>1100</v>
      </c>
      <c r="G95" s="8">
        <v>900</v>
      </c>
      <c r="H95" s="4">
        <v>10</v>
      </c>
      <c r="I95" s="8">
        <v>100</v>
      </c>
      <c r="J95" s="4">
        <v>10</v>
      </c>
      <c r="K95" s="8">
        <v>100</v>
      </c>
      <c r="L95" s="4">
        <v>300</v>
      </c>
      <c r="M95" s="4">
        <f t="shared" si="39"/>
        <v>290</v>
      </c>
      <c r="N95" s="4">
        <v>2</v>
      </c>
      <c r="O95" s="4">
        <v>10</v>
      </c>
      <c r="P95" s="21">
        <f t="shared" si="40"/>
        <v>157.07963267948966</v>
      </c>
      <c r="Q95" s="29">
        <f t="shared" si="56"/>
        <v>1.1635528346628864E-2</v>
      </c>
      <c r="R95" s="21">
        <v>500</v>
      </c>
      <c r="S95" s="49">
        <f t="shared" si="57"/>
        <v>2.2222222222222223</v>
      </c>
      <c r="T95" s="49">
        <f t="shared" si="58"/>
        <v>2.1481481481481484</v>
      </c>
      <c r="U95" s="57">
        <v>15</v>
      </c>
      <c r="V95" s="8">
        <v>64</v>
      </c>
      <c r="W95" s="8" t="s">
        <v>456</v>
      </c>
      <c r="X95" s="7">
        <f t="shared" si="42"/>
        <v>1</v>
      </c>
      <c r="Y95" s="8">
        <v>35</v>
      </c>
      <c r="Z95" s="8">
        <v>1</v>
      </c>
      <c r="AA95" s="8">
        <v>0.54</v>
      </c>
      <c r="AB95" s="66">
        <v>65</v>
      </c>
      <c r="AC95" s="8">
        <v>1100</v>
      </c>
      <c r="AD95" s="7">
        <f t="shared" si="44"/>
        <v>0.65</v>
      </c>
      <c r="AE95" s="21">
        <f t="shared" si="26"/>
        <v>44950</v>
      </c>
      <c r="AF95" s="66">
        <f t="shared" si="60"/>
        <v>89.9</v>
      </c>
      <c r="AG95" s="41">
        <f t="shared" si="55"/>
        <v>3.3421296296296301</v>
      </c>
      <c r="AH95" s="45">
        <f t="shared" si="45"/>
        <v>0.41776620370370376</v>
      </c>
      <c r="AI95" s="45">
        <f t="shared" si="46"/>
        <v>0.83553240740740775</v>
      </c>
      <c r="AJ95" s="21">
        <v>44.95</v>
      </c>
      <c r="AK95" s="21">
        <f t="shared" si="47"/>
        <v>0.375</v>
      </c>
      <c r="AL95" s="21">
        <f t="shared" si="23"/>
        <v>0.16874999999999996</v>
      </c>
      <c r="AM95" s="21">
        <f t="shared" si="59"/>
        <v>45.118750000000006</v>
      </c>
      <c r="AN95" s="41">
        <f t="shared" si="48"/>
        <v>3.3421296296296301</v>
      </c>
      <c r="AO95" s="41">
        <f t="shared" si="49"/>
        <v>0.41776620370370376</v>
      </c>
      <c r="AP95" s="41">
        <f t="shared" si="50"/>
        <v>0.83553240740740775</v>
      </c>
      <c r="AQ95" s="21">
        <f t="shared" si="51"/>
        <v>3.1874999999999994E-2</v>
      </c>
      <c r="AR95" s="21">
        <f t="shared" si="52"/>
        <v>13.484999999999999</v>
      </c>
      <c r="AS95" s="21">
        <f t="shared" si="53"/>
        <v>13.516874999999999</v>
      </c>
      <c r="AT95" s="41">
        <f t="shared" si="54"/>
        <v>2.2191439257514887</v>
      </c>
      <c r="AU95" s="4"/>
      <c r="AZ95" s="4"/>
    </row>
    <row r="96" spans="1:60" x14ac:dyDescent="0.25">
      <c r="B96" s="13" t="s">
        <v>134</v>
      </c>
      <c r="C96" s="8">
        <v>100</v>
      </c>
      <c r="D96" s="4">
        <v>150</v>
      </c>
      <c r="E96" s="8">
        <v>135</v>
      </c>
      <c r="F96" s="4">
        <v>1100</v>
      </c>
      <c r="G96" s="8">
        <v>900</v>
      </c>
      <c r="H96" s="4">
        <v>10</v>
      </c>
      <c r="I96" s="8">
        <v>100</v>
      </c>
      <c r="J96" s="4">
        <v>10</v>
      </c>
      <c r="K96" s="8">
        <v>100</v>
      </c>
      <c r="L96" s="4">
        <v>300</v>
      </c>
      <c r="M96" s="4">
        <f t="shared" si="39"/>
        <v>290</v>
      </c>
      <c r="N96" s="4">
        <v>2</v>
      </c>
      <c r="O96" s="4">
        <v>10</v>
      </c>
      <c r="P96" s="21">
        <f t="shared" si="40"/>
        <v>157.07963267948966</v>
      </c>
      <c r="Q96" s="29">
        <f t="shared" si="56"/>
        <v>1.1635528346628864E-2</v>
      </c>
      <c r="R96" s="21">
        <v>500</v>
      </c>
      <c r="S96" s="49">
        <f t="shared" si="57"/>
        <v>2.2222222222222223</v>
      </c>
      <c r="T96" s="49">
        <f t="shared" si="58"/>
        <v>2.1481481481481484</v>
      </c>
      <c r="U96" s="57">
        <v>15</v>
      </c>
      <c r="V96" s="8">
        <v>64</v>
      </c>
      <c r="W96" s="8" t="s">
        <v>456</v>
      </c>
      <c r="X96" s="7">
        <f t="shared" si="42"/>
        <v>1</v>
      </c>
      <c r="Y96" s="8">
        <v>35</v>
      </c>
      <c r="Z96" s="8">
        <v>1</v>
      </c>
      <c r="AA96" s="8">
        <v>0.54</v>
      </c>
      <c r="AB96" s="66">
        <v>65</v>
      </c>
      <c r="AC96" s="8">
        <v>1100</v>
      </c>
      <c r="AD96" s="7">
        <f t="shared" si="44"/>
        <v>0.65</v>
      </c>
      <c r="AE96" s="21">
        <f t="shared" si="26"/>
        <v>47620</v>
      </c>
      <c r="AF96" s="66">
        <f t="shared" si="60"/>
        <v>95.24</v>
      </c>
      <c r="AG96" s="41">
        <f t="shared" si="55"/>
        <v>3.5399074074074073</v>
      </c>
      <c r="AH96" s="45">
        <f t="shared" si="45"/>
        <v>0.44248842592592591</v>
      </c>
      <c r="AI96" s="45">
        <f t="shared" si="46"/>
        <v>0.88497685185185204</v>
      </c>
      <c r="AJ96" s="21">
        <v>47.62</v>
      </c>
      <c r="AK96" s="21">
        <f t="shared" si="47"/>
        <v>0.375</v>
      </c>
      <c r="AL96" s="21">
        <f t="shared" si="23"/>
        <v>0.16874999999999996</v>
      </c>
      <c r="AM96" s="21">
        <f t="shared" si="59"/>
        <v>47.78875</v>
      </c>
      <c r="AN96" s="41">
        <f t="shared" si="48"/>
        <v>3.5399074074074073</v>
      </c>
      <c r="AO96" s="41">
        <f t="shared" si="49"/>
        <v>0.44248842592592591</v>
      </c>
      <c r="AP96" s="41">
        <f t="shared" si="50"/>
        <v>0.88497685185185204</v>
      </c>
      <c r="AQ96" s="21">
        <f t="shared" si="51"/>
        <v>3.1874999999999994E-2</v>
      </c>
      <c r="AR96" s="21">
        <f t="shared" si="52"/>
        <v>14.286</v>
      </c>
      <c r="AS96" s="21">
        <f t="shared" si="53"/>
        <v>14.317874999999999</v>
      </c>
      <c r="AT96" s="41">
        <f t="shared" si="54"/>
        <v>2.2193159129153477</v>
      </c>
      <c r="AU96" s="4"/>
      <c r="AZ96" s="4"/>
    </row>
    <row r="97" spans="1:60" x14ac:dyDescent="0.25">
      <c r="B97" s="13" t="s">
        <v>134</v>
      </c>
      <c r="C97" s="8">
        <v>100</v>
      </c>
      <c r="D97" s="4">
        <v>150</v>
      </c>
      <c r="E97" s="8">
        <v>135</v>
      </c>
      <c r="F97" s="4">
        <v>1100</v>
      </c>
      <c r="G97" s="8">
        <v>900</v>
      </c>
      <c r="H97" s="4">
        <v>10</v>
      </c>
      <c r="I97" s="8">
        <v>100</v>
      </c>
      <c r="J97" s="4">
        <v>10</v>
      </c>
      <c r="K97" s="8">
        <v>100</v>
      </c>
      <c r="L97" s="4">
        <v>300</v>
      </c>
      <c r="M97" s="4">
        <f t="shared" si="39"/>
        <v>290</v>
      </c>
      <c r="N97" s="4">
        <v>2</v>
      </c>
      <c r="O97" s="4">
        <v>10</v>
      </c>
      <c r="P97" s="21">
        <f t="shared" si="40"/>
        <v>157.07963267948966</v>
      </c>
      <c r="Q97" s="29">
        <f t="shared" si="56"/>
        <v>1.1635528346628864E-2</v>
      </c>
      <c r="R97" s="21">
        <v>500</v>
      </c>
      <c r="S97" s="49">
        <f t="shared" si="57"/>
        <v>2.2222222222222223</v>
      </c>
      <c r="T97" s="49">
        <f t="shared" si="58"/>
        <v>2.1481481481481484</v>
      </c>
      <c r="U97" s="57">
        <v>15</v>
      </c>
      <c r="V97" s="8">
        <v>64</v>
      </c>
      <c r="W97" s="8" t="s">
        <v>456</v>
      </c>
      <c r="X97" s="7">
        <f t="shared" si="42"/>
        <v>1</v>
      </c>
      <c r="Y97" s="8">
        <v>35</v>
      </c>
      <c r="Z97" s="8">
        <v>1</v>
      </c>
      <c r="AA97" s="8">
        <v>0.54</v>
      </c>
      <c r="AB97" s="66">
        <v>65</v>
      </c>
      <c r="AC97" s="8">
        <v>1100</v>
      </c>
      <c r="AD97" s="7">
        <f t="shared" si="44"/>
        <v>0.65</v>
      </c>
      <c r="AE97" s="21">
        <f t="shared" si="26"/>
        <v>42850</v>
      </c>
      <c r="AF97" s="66">
        <f t="shared" si="60"/>
        <v>85.7</v>
      </c>
      <c r="AG97" s="41">
        <f t="shared" si="55"/>
        <v>3.1865740740740742</v>
      </c>
      <c r="AH97" s="45">
        <f t="shared" si="45"/>
        <v>0.39832175925925928</v>
      </c>
      <c r="AI97" s="45">
        <f t="shared" si="46"/>
        <v>0.79664351851851878</v>
      </c>
      <c r="AJ97" s="21">
        <v>42.85</v>
      </c>
      <c r="AK97" s="21">
        <f t="shared" si="47"/>
        <v>0.375</v>
      </c>
      <c r="AL97" s="21">
        <f t="shared" si="23"/>
        <v>0.16874999999999996</v>
      </c>
      <c r="AM97" s="21">
        <f t="shared" si="59"/>
        <v>43.018750000000004</v>
      </c>
      <c r="AN97" s="41">
        <f t="shared" si="48"/>
        <v>3.1865740740740747</v>
      </c>
      <c r="AO97" s="41">
        <f t="shared" si="49"/>
        <v>0.39832175925925933</v>
      </c>
      <c r="AP97" s="41">
        <f t="shared" si="50"/>
        <v>0.79664351851851889</v>
      </c>
      <c r="AQ97" s="21">
        <f t="shared" si="51"/>
        <v>3.1874999999999994E-2</v>
      </c>
      <c r="AR97" s="21">
        <f t="shared" si="52"/>
        <v>12.855</v>
      </c>
      <c r="AS97" s="21">
        <f t="shared" si="53"/>
        <v>12.886875</v>
      </c>
      <c r="AT97" s="41">
        <f t="shared" si="54"/>
        <v>2.2189936558671119</v>
      </c>
      <c r="AU97" s="4"/>
      <c r="AZ97" s="4"/>
    </row>
    <row r="98" spans="1:60" x14ac:dyDescent="0.25">
      <c r="B98" s="4" t="s">
        <v>135</v>
      </c>
      <c r="C98" s="8">
        <v>100</v>
      </c>
      <c r="D98" s="4">
        <v>150</v>
      </c>
      <c r="E98" s="8">
        <v>135</v>
      </c>
      <c r="F98" s="4">
        <v>1100</v>
      </c>
      <c r="G98" s="8">
        <v>900</v>
      </c>
      <c r="H98" s="4">
        <v>10</v>
      </c>
      <c r="I98" s="8">
        <v>100</v>
      </c>
      <c r="J98" s="4">
        <v>10</v>
      </c>
      <c r="K98" s="8">
        <v>100</v>
      </c>
      <c r="L98" s="4">
        <v>300</v>
      </c>
      <c r="M98" s="4">
        <f t="shared" si="39"/>
        <v>290</v>
      </c>
      <c r="N98" s="4">
        <v>2</v>
      </c>
      <c r="O98" s="4">
        <v>10</v>
      </c>
      <c r="P98" s="21">
        <f t="shared" si="40"/>
        <v>157.07963267948966</v>
      </c>
      <c r="Q98" s="29">
        <f t="shared" si="56"/>
        <v>1.1635528346628864E-2</v>
      </c>
      <c r="R98" s="21">
        <v>500</v>
      </c>
      <c r="S98" s="49">
        <f t="shared" si="57"/>
        <v>2.2222222222222223</v>
      </c>
      <c r="T98" s="49">
        <f t="shared" si="58"/>
        <v>2.1481481481481484</v>
      </c>
      <c r="U98" s="57">
        <v>15</v>
      </c>
      <c r="V98" s="8">
        <v>60</v>
      </c>
      <c r="W98" s="8" t="s">
        <v>456</v>
      </c>
      <c r="X98" s="7">
        <f t="shared" si="42"/>
        <v>1</v>
      </c>
      <c r="Y98" s="8">
        <v>60</v>
      </c>
      <c r="Z98" s="8">
        <v>1</v>
      </c>
      <c r="AA98" s="8">
        <v>0.75</v>
      </c>
      <c r="AB98" s="66">
        <v>80</v>
      </c>
      <c r="AC98" s="8">
        <v>1100</v>
      </c>
      <c r="AD98" s="7">
        <f t="shared" si="44"/>
        <v>0.8</v>
      </c>
      <c r="AE98" s="21">
        <f t="shared" si="26"/>
        <v>49350</v>
      </c>
      <c r="AF98" s="66">
        <f t="shared" si="60"/>
        <v>98.7</v>
      </c>
      <c r="AG98" s="41">
        <f t="shared" si="55"/>
        <v>3.6680555555555561</v>
      </c>
      <c r="AH98" s="45">
        <f t="shared" si="45"/>
        <v>0.47354393598767541</v>
      </c>
      <c r="AI98" s="45">
        <f t="shared" si="46"/>
        <v>0.93695519025526575</v>
      </c>
      <c r="AJ98" s="21">
        <v>49.35</v>
      </c>
      <c r="AK98" s="21">
        <f t="shared" si="47"/>
        <v>0.375</v>
      </c>
      <c r="AL98" s="21">
        <f t="shared" si="23"/>
        <v>0.16874999999999996</v>
      </c>
      <c r="AM98" s="21">
        <f t="shared" si="59"/>
        <v>49.518750000000004</v>
      </c>
      <c r="AN98" s="41">
        <f t="shared" si="48"/>
        <v>3.6680555555555561</v>
      </c>
      <c r="AO98" s="41">
        <f t="shared" si="49"/>
        <v>0.47354393598767541</v>
      </c>
      <c r="AP98" s="41">
        <f t="shared" si="50"/>
        <v>0.93695519025526575</v>
      </c>
      <c r="AQ98" s="21">
        <f t="shared" si="51"/>
        <v>3.1874999999999994E-2</v>
      </c>
      <c r="AR98" s="21">
        <f t="shared" si="52"/>
        <v>14.805</v>
      </c>
      <c r="AS98" s="21">
        <f t="shared" si="53"/>
        <v>14.836874999999999</v>
      </c>
      <c r="AT98" s="41">
        <f t="shared" si="54"/>
        <v>2.2194174484973423</v>
      </c>
      <c r="AU98" s="4"/>
    </row>
    <row r="99" spans="1:60" x14ac:dyDescent="0.25">
      <c r="B99" s="4" t="s">
        <v>135</v>
      </c>
      <c r="C99" s="8">
        <v>100</v>
      </c>
      <c r="D99" s="4">
        <v>150</v>
      </c>
      <c r="E99" s="8">
        <v>135</v>
      </c>
      <c r="F99" s="4">
        <v>1100</v>
      </c>
      <c r="G99" s="8">
        <v>900</v>
      </c>
      <c r="H99" s="4">
        <v>10</v>
      </c>
      <c r="I99" s="8">
        <v>100</v>
      </c>
      <c r="J99" s="4">
        <v>10</v>
      </c>
      <c r="K99" s="8">
        <v>100</v>
      </c>
      <c r="L99" s="4">
        <v>300</v>
      </c>
      <c r="M99" s="4">
        <f t="shared" si="39"/>
        <v>290</v>
      </c>
      <c r="N99" s="4">
        <v>2</v>
      </c>
      <c r="O99" s="4">
        <v>10</v>
      </c>
      <c r="P99" s="21">
        <f t="shared" si="40"/>
        <v>157.07963267948966</v>
      </c>
      <c r="Q99" s="29">
        <f t="shared" si="56"/>
        <v>1.1635528346628864E-2</v>
      </c>
      <c r="R99" s="21">
        <v>500</v>
      </c>
      <c r="S99" s="49">
        <f t="shared" si="57"/>
        <v>2.2222222222222223</v>
      </c>
      <c r="T99" s="49">
        <f t="shared" si="58"/>
        <v>2.1481481481481484</v>
      </c>
      <c r="U99" s="57">
        <v>15</v>
      </c>
      <c r="V99" s="8">
        <v>60</v>
      </c>
      <c r="W99" s="8" t="s">
        <v>456</v>
      </c>
      <c r="X99" s="7">
        <f t="shared" si="42"/>
        <v>1</v>
      </c>
      <c r="Y99" s="8">
        <v>60</v>
      </c>
      <c r="Z99" s="8">
        <v>1</v>
      </c>
      <c r="AA99" s="8">
        <v>0.75</v>
      </c>
      <c r="AB99" s="66">
        <v>80</v>
      </c>
      <c r="AC99" s="8">
        <v>1100</v>
      </c>
      <c r="AD99" s="7">
        <f t="shared" si="44"/>
        <v>0.8</v>
      </c>
      <c r="AE99" s="21">
        <f t="shared" si="26"/>
        <v>52280</v>
      </c>
      <c r="AF99" s="66">
        <f t="shared" si="60"/>
        <v>104.56</v>
      </c>
      <c r="AG99" s="41">
        <f t="shared" si="55"/>
        <v>3.885092592592593</v>
      </c>
      <c r="AH99" s="45">
        <f t="shared" si="45"/>
        <v>0.50156329698616364</v>
      </c>
      <c r="AI99" s="45">
        <f t="shared" si="46"/>
        <v>0.99239436647534263</v>
      </c>
      <c r="AJ99" s="21">
        <v>52.28</v>
      </c>
      <c r="AK99" s="21">
        <f t="shared" si="47"/>
        <v>0.375</v>
      </c>
      <c r="AL99" s="21">
        <f t="shared" si="23"/>
        <v>0.16874999999999996</v>
      </c>
      <c r="AM99" s="21">
        <f t="shared" si="59"/>
        <v>52.448750000000004</v>
      </c>
      <c r="AN99" s="41">
        <f t="shared" si="48"/>
        <v>3.885092592592593</v>
      </c>
      <c r="AO99" s="41">
        <f t="shared" si="49"/>
        <v>0.50156329698616364</v>
      </c>
      <c r="AP99" s="41">
        <f t="shared" si="50"/>
        <v>0.99239436647534263</v>
      </c>
      <c r="AQ99" s="21">
        <f t="shared" si="51"/>
        <v>3.1874999999999994E-2</v>
      </c>
      <c r="AR99" s="21">
        <f t="shared" si="52"/>
        <v>15.683999999999999</v>
      </c>
      <c r="AS99" s="21">
        <f t="shared" si="53"/>
        <v>15.715874999999999</v>
      </c>
      <c r="AT99" s="41">
        <f t="shared" si="54"/>
        <v>2.2195741345387425</v>
      </c>
      <c r="AU99" s="4"/>
    </row>
    <row r="100" spans="1:60" x14ac:dyDescent="0.25">
      <c r="A100" s="1"/>
      <c r="B100" s="10" t="s">
        <v>135</v>
      </c>
      <c r="C100" s="9">
        <v>100</v>
      </c>
      <c r="D100" s="10">
        <v>150</v>
      </c>
      <c r="E100" s="9">
        <v>135</v>
      </c>
      <c r="F100" s="10">
        <v>1100</v>
      </c>
      <c r="G100" s="9">
        <v>900</v>
      </c>
      <c r="H100" s="10">
        <v>10</v>
      </c>
      <c r="I100" s="9">
        <v>100</v>
      </c>
      <c r="J100" s="10">
        <v>10</v>
      </c>
      <c r="K100" s="9">
        <v>100</v>
      </c>
      <c r="L100" s="10">
        <v>300</v>
      </c>
      <c r="M100" s="10">
        <f t="shared" si="39"/>
        <v>290</v>
      </c>
      <c r="N100" s="10">
        <v>2</v>
      </c>
      <c r="O100" s="10">
        <v>10</v>
      </c>
      <c r="P100" s="27">
        <f t="shared" si="40"/>
        <v>157.07963267948966</v>
      </c>
      <c r="Q100" s="36">
        <f t="shared" si="56"/>
        <v>1.1635528346628864E-2</v>
      </c>
      <c r="R100" s="27">
        <v>500</v>
      </c>
      <c r="S100" s="50">
        <f t="shared" si="57"/>
        <v>2.2222222222222223</v>
      </c>
      <c r="T100" s="50">
        <f t="shared" si="58"/>
        <v>2.1481481481481484</v>
      </c>
      <c r="U100" s="58">
        <v>15</v>
      </c>
      <c r="V100" s="9">
        <v>60</v>
      </c>
      <c r="W100" s="9" t="s">
        <v>456</v>
      </c>
      <c r="X100" s="7">
        <f t="shared" si="42"/>
        <v>1</v>
      </c>
      <c r="Y100" s="9">
        <v>60</v>
      </c>
      <c r="Z100" s="9">
        <v>1</v>
      </c>
      <c r="AA100" s="9">
        <v>0.75</v>
      </c>
      <c r="AB100" s="67">
        <v>80</v>
      </c>
      <c r="AC100" s="9">
        <v>1100</v>
      </c>
      <c r="AD100" s="7">
        <f t="shared" si="44"/>
        <v>0.8</v>
      </c>
      <c r="AE100" s="27">
        <f t="shared" si="26"/>
        <v>45000</v>
      </c>
      <c r="AF100" s="67">
        <f t="shared" si="60"/>
        <v>90</v>
      </c>
      <c r="AG100" s="41">
        <f t="shared" si="55"/>
        <v>3.3458333333333337</v>
      </c>
      <c r="AH100" s="45">
        <f t="shared" si="45"/>
        <v>0.43194522597285501</v>
      </c>
      <c r="AI100" s="45">
        <f t="shared" si="46"/>
        <v>0.85464788085003229</v>
      </c>
      <c r="AJ100" s="27">
        <v>45</v>
      </c>
      <c r="AK100" s="21">
        <f t="shared" si="47"/>
        <v>0.375</v>
      </c>
      <c r="AL100" s="27">
        <f t="shared" si="23"/>
        <v>0.16874999999999996</v>
      </c>
      <c r="AM100" s="27">
        <f t="shared" si="59"/>
        <v>45.168750000000003</v>
      </c>
      <c r="AN100" s="41">
        <f t="shared" si="48"/>
        <v>3.3458333333333332</v>
      </c>
      <c r="AO100" s="41">
        <f t="shared" si="49"/>
        <v>0.43194522597285495</v>
      </c>
      <c r="AP100" s="41">
        <f t="shared" si="50"/>
        <v>0.85464788085003218</v>
      </c>
      <c r="AQ100" s="21">
        <f t="shared" si="51"/>
        <v>3.1874999999999994E-2</v>
      </c>
      <c r="AR100" s="21">
        <f t="shared" si="52"/>
        <v>13.5</v>
      </c>
      <c r="AS100" s="21">
        <f t="shared" si="53"/>
        <v>13.531874999999999</v>
      </c>
      <c r="AT100" s="41">
        <f t="shared" si="54"/>
        <v>2.2191473333025846</v>
      </c>
      <c r="AU100" s="10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</row>
    <row r="101" spans="1:60" x14ac:dyDescent="0.25">
      <c r="A101" t="s">
        <v>11</v>
      </c>
      <c r="B101" s="4" t="s">
        <v>136</v>
      </c>
      <c r="C101" s="8">
        <v>85</v>
      </c>
      <c r="D101" s="4">
        <v>150</v>
      </c>
      <c r="E101" s="8">
        <v>130</v>
      </c>
      <c r="F101" s="4">
        <f>G101+200</f>
        <v>1100</v>
      </c>
      <c r="G101">
        <v>900</v>
      </c>
      <c r="H101" s="4">
        <v>10</v>
      </c>
      <c r="I101" s="8">
        <v>85</v>
      </c>
      <c r="J101" s="4">
        <v>10</v>
      </c>
      <c r="K101" s="8">
        <v>85</v>
      </c>
      <c r="L101">
        <v>262</v>
      </c>
      <c r="M101">
        <f t="shared" si="39"/>
        <v>252</v>
      </c>
      <c r="N101" s="4">
        <v>2</v>
      </c>
      <c r="O101" s="4">
        <v>12</v>
      </c>
      <c r="P101" s="21">
        <f t="shared" si="40"/>
        <v>226.1946710584651</v>
      </c>
      <c r="Q101" s="29">
        <f t="shared" si="56"/>
        <v>2.0470105978141639E-2</v>
      </c>
      <c r="R101" s="21">
        <v>530</v>
      </c>
      <c r="S101" s="41">
        <f t="shared" si="57"/>
        <v>2.0153846153846153</v>
      </c>
      <c r="T101" s="41">
        <f t="shared" si="58"/>
        <v>1.9384615384615385</v>
      </c>
      <c r="U101" s="57">
        <v>9.5500000000000007</v>
      </c>
      <c r="V101">
        <f>0.85*61</f>
        <v>51.85</v>
      </c>
      <c r="W101" s="8" t="s">
        <v>457</v>
      </c>
      <c r="X101" s="7">
        <f t="shared" si="42"/>
        <v>0.75</v>
      </c>
      <c r="Y101">
        <f>AB101*AA101</f>
        <v>30</v>
      </c>
      <c r="Z101" s="8">
        <v>0.25</v>
      </c>
      <c r="AA101" s="8">
        <v>0.3</v>
      </c>
      <c r="AB101" s="66">
        <v>100</v>
      </c>
      <c r="AC101" s="8">
        <v>2000</v>
      </c>
      <c r="AD101" s="7">
        <f t="shared" si="44"/>
        <v>0.1875</v>
      </c>
      <c r="AE101" s="21">
        <f t="shared" si="26"/>
        <v>32708</v>
      </c>
      <c r="AF101" s="66">
        <f>AJ101*2</f>
        <v>65.415999999999997</v>
      </c>
      <c r="AG101" s="45">
        <v>2.96</v>
      </c>
      <c r="AH101" s="45">
        <f t="shared" si="45"/>
        <v>0.41107146492642838</v>
      </c>
      <c r="AI101" s="45">
        <f t="shared" si="46"/>
        <v>0.79379578922812555</v>
      </c>
      <c r="AJ101" s="21">
        <f t="shared" ref="AJ101:AJ138" si="61">AG101*C101*E101/1000</f>
        <v>32.707999999999998</v>
      </c>
      <c r="AK101" s="21">
        <f t="shared" si="47"/>
        <v>0.31874999999999998</v>
      </c>
      <c r="AL101" s="21">
        <f t="shared" si="23"/>
        <v>0.1434375</v>
      </c>
      <c r="AM101" s="21">
        <f t="shared" si="59"/>
        <v>32.851437499999996</v>
      </c>
      <c r="AN101" s="41">
        <f t="shared" si="48"/>
        <v>2.9729807692307686</v>
      </c>
      <c r="AO101" s="41">
        <f t="shared" si="49"/>
        <v>0.41287417567763246</v>
      </c>
      <c r="AP101" s="41">
        <f t="shared" si="50"/>
        <v>0.79727689732147899</v>
      </c>
      <c r="AQ101" s="21">
        <f t="shared" si="51"/>
        <v>2.5046737500000006E-2</v>
      </c>
      <c r="AR101" s="21">
        <f t="shared" si="52"/>
        <v>8.5694959999999991</v>
      </c>
      <c r="AS101" s="21">
        <f t="shared" si="53"/>
        <v>8.5945427374999994</v>
      </c>
      <c r="AT101" s="41">
        <f t="shared" si="54"/>
        <v>2.0124497508377974</v>
      </c>
      <c r="AU101" s="4"/>
    </row>
    <row r="102" spans="1:60" x14ac:dyDescent="0.25">
      <c r="A102">
        <v>1987</v>
      </c>
      <c r="B102" s="4" t="s">
        <v>137</v>
      </c>
      <c r="C102" s="8">
        <v>85</v>
      </c>
      <c r="D102" s="4">
        <v>150</v>
      </c>
      <c r="E102" s="8">
        <v>130</v>
      </c>
      <c r="F102" s="4">
        <f t="shared" ref="F102:F128" si="62">G102+200</f>
        <v>1230</v>
      </c>
      <c r="G102">
        <v>1030</v>
      </c>
      <c r="H102" s="4">
        <v>10</v>
      </c>
      <c r="I102" s="8">
        <v>85</v>
      </c>
      <c r="J102" s="4">
        <v>10</v>
      </c>
      <c r="K102" s="8">
        <v>85</v>
      </c>
      <c r="L102">
        <v>327</v>
      </c>
      <c r="M102">
        <f t="shared" si="39"/>
        <v>317</v>
      </c>
      <c r="N102" s="4">
        <v>2</v>
      </c>
      <c r="O102" s="4">
        <v>12</v>
      </c>
      <c r="P102" s="21">
        <f t="shared" si="40"/>
        <v>226.1946710584651</v>
      </c>
      <c r="Q102" s="29">
        <f t="shared" si="56"/>
        <v>2.0470105978141639E-2</v>
      </c>
      <c r="R102" s="21">
        <v>530</v>
      </c>
      <c r="S102" s="41">
        <f t="shared" si="57"/>
        <v>2.5153846153846153</v>
      </c>
      <c r="T102" s="41">
        <f t="shared" si="58"/>
        <v>2.4384615384615387</v>
      </c>
      <c r="U102" s="57">
        <v>9.5500000000000007</v>
      </c>
      <c r="V102">
        <f>0.85*61</f>
        <v>51.85</v>
      </c>
      <c r="W102" s="8" t="s">
        <v>457</v>
      </c>
      <c r="X102" s="7">
        <f t="shared" si="42"/>
        <v>0.75</v>
      </c>
      <c r="Y102">
        <f t="shared" ref="Y102:Y128" si="63">AB102*AA102</f>
        <v>30</v>
      </c>
      <c r="Z102" s="8">
        <v>0.25</v>
      </c>
      <c r="AA102" s="8">
        <v>0.3</v>
      </c>
      <c r="AB102" s="66">
        <v>100</v>
      </c>
      <c r="AC102" s="8">
        <v>2000</v>
      </c>
      <c r="AD102" s="7">
        <f t="shared" si="44"/>
        <v>0.1875</v>
      </c>
      <c r="AE102" s="21">
        <f t="shared" si="26"/>
        <v>29503.5</v>
      </c>
      <c r="AF102" s="66">
        <f t="shared" ref="AF102:AF138" si="64">AJ102*2</f>
        <v>59.006999999999998</v>
      </c>
      <c r="AG102" s="45">
        <v>2.67</v>
      </c>
      <c r="AH102" s="45">
        <f t="shared" si="45"/>
        <v>0.370797571403231</v>
      </c>
      <c r="AI102" s="45">
        <f t="shared" si="46"/>
        <v>0.71602525582401866</v>
      </c>
      <c r="AJ102" s="21">
        <f t="shared" si="61"/>
        <v>29.503499999999999</v>
      </c>
      <c r="AK102" s="21">
        <f t="shared" si="47"/>
        <v>0.31874999999999998</v>
      </c>
      <c r="AL102" s="21">
        <f t="shared" si="23"/>
        <v>0.16415625</v>
      </c>
      <c r="AM102" s="21">
        <f t="shared" si="59"/>
        <v>29.66765625</v>
      </c>
      <c r="AN102" s="41">
        <f t="shared" si="48"/>
        <v>2.6848557692307691</v>
      </c>
      <c r="AO102" s="41">
        <f t="shared" si="49"/>
        <v>0.37286067370738685</v>
      </c>
      <c r="AP102" s="41">
        <f t="shared" si="50"/>
        <v>0.72000919064196767</v>
      </c>
      <c r="AQ102" s="21">
        <f t="shared" si="51"/>
        <v>3.5043534374999991E-2</v>
      </c>
      <c r="AR102" s="21">
        <f t="shared" si="52"/>
        <v>9.6476445000000002</v>
      </c>
      <c r="AS102" s="21">
        <f t="shared" si="53"/>
        <v>9.6826880343749995</v>
      </c>
      <c r="AT102" s="41">
        <f t="shared" si="54"/>
        <v>2.5105527386929478</v>
      </c>
      <c r="AU102" s="4"/>
    </row>
    <row r="103" spans="1:60" x14ac:dyDescent="0.25">
      <c r="B103" s="4" t="s">
        <v>138</v>
      </c>
      <c r="C103" s="8">
        <v>85</v>
      </c>
      <c r="D103" s="4">
        <v>150</v>
      </c>
      <c r="E103" s="8">
        <v>130</v>
      </c>
      <c r="F103" s="4">
        <f t="shared" si="62"/>
        <v>1360</v>
      </c>
      <c r="G103">
        <v>1160</v>
      </c>
      <c r="H103" s="4">
        <v>10</v>
      </c>
      <c r="I103" s="8">
        <v>85</v>
      </c>
      <c r="J103" s="4">
        <v>10</v>
      </c>
      <c r="K103" s="8">
        <v>85</v>
      </c>
      <c r="L103" s="4">
        <v>392</v>
      </c>
      <c r="M103">
        <f t="shared" si="39"/>
        <v>382</v>
      </c>
      <c r="N103" s="4">
        <v>2</v>
      </c>
      <c r="O103" s="4">
        <v>12</v>
      </c>
      <c r="P103" s="21">
        <f t="shared" si="40"/>
        <v>226.1946710584651</v>
      </c>
      <c r="Q103" s="29">
        <f t="shared" si="56"/>
        <v>2.0470105978141639E-2</v>
      </c>
      <c r="R103" s="21">
        <v>530</v>
      </c>
      <c r="S103" s="41">
        <f t="shared" si="57"/>
        <v>3.0153846153846153</v>
      </c>
      <c r="T103" s="41">
        <f t="shared" si="58"/>
        <v>2.9384615384615387</v>
      </c>
      <c r="U103" s="57">
        <v>9.5500000000000007</v>
      </c>
      <c r="V103">
        <f>0.85*61</f>
        <v>51.85</v>
      </c>
      <c r="W103" s="8" t="s">
        <v>457</v>
      </c>
      <c r="X103" s="7">
        <f t="shared" si="42"/>
        <v>0.75</v>
      </c>
      <c r="Y103">
        <f t="shared" si="63"/>
        <v>30</v>
      </c>
      <c r="Z103" s="8">
        <v>0.25</v>
      </c>
      <c r="AA103" s="8">
        <v>0.3</v>
      </c>
      <c r="AB103" s="66">
        <v>100</v>
      </c>
      <c r="AC103" s="8">
        <v>2000</v>
      </c>
      <c r="AD103" s="7">
        <f t="shared" si="44"/>
        <v>0.1875</v>
      </c>
      <c r="AE103" s="21">
        <f t="shared" si="26"/>
        <v>30608.5</v>
      </c>
      <c r="AF103" s="66">
        <f t="shared" si="64"/>
        <v>61.216999999999999</v>
      </c>
      <c r="AG103" s="45">
        <v>2.77</v>
      </c>
      <c r="AH103" s="45">
        <f t="shared" si="45"/>
        <v>0.38468512089398876</v>
      </c>
      <c r="AI103" s="45">
        <f t="shared" si="46"/>
        <v>0.74284268113577967</v>
      </c>
      <c r="AJ103" s="21">
        <f t="shared" si="61"/>
        <v>30.608499999999999</v>
      </c>
      <c r="AK103" s="21">
        <f t="shared" si="47"/>
        <v>0.31874999999999998</v>
      </c>
      <c r="AL103" s="21">
        <f t="shared" si="23"/>
        <v>0.18487499999999996</v>
      </c>
      <c r="AM103" s="21">
        <f t="shared" si="59"/>
        <v>30.793375000000001</v>
      </c>
      <c r="AN103" s="41">
        <f t="shared" si="48"/>
        <v>2.7867307692307692</v>
      </c>
      <c r="AO103" s="41">
        <f t="shared" si="49"/>
        <v>0.38700861475109627</v>
      </c>
      <c r="AP103" s="41">
        <f t="shared" si="50"/>
        <v>0.74732944267832424</v>
      </c>
      <c r="AQ103" s="21">
        <f t="shared" si="51"/>
        <v>4.6387049999999999E-2</v>
      </c>
      <c r="AR103" s="21">
        <f t="shared" si="52"/>
        <v>11.998531999999999</v>
      </c>
      <c r="AS103" s="21">
        <f t="shared" si="53"/>
        <v>12.044919049999999</v>
      </c>
      <c r="AT103" s="41">
        <f t="shared" si="54"/>
        <v>3.0088687408099455</v>
      </c>
      <c r="AU103" s="4"/>
    </row>
    <row r="104" spans="1:60" x14ac:dyDescent="0.25">
      <c r="B104" s="4" t="s">
        <v>139</v>
      </c>
      <c r="C104" s="8">
        <v>85</v>
      </c>
      <c r="D104" s="4">
        <v>150</v>
      </c>
      <c r="E104" s="8">
        <v>130</v>
      </c>
      <c r="F104" s="4">
        <f t="shared" si="62"/>
        <v>1100</v>
      </c>
      <c r="G104">
        <v>900</v>
      </c>
      <c r="H104" s="4">
        <v>10</v>
      </c>
      <c r="I104" s="8">
        <v>85</v>
      </c>
      <c r="J104" s="4">
        <v>10</v>
      </c>
      <c r="K104" s="8">
        <v>85</v>
      </c>
      <c r="L104" s="4">
        <v>262</v>
      </c>
      <c r="M104">
        <f t="shared" si="39"/>
        <v>252</v>
      </c>
      <c r="N104" s="4">
        <v>2</v>
      </c>
      <c r="O104" s="4">
        <v>12</v>
      </c>
      <c r="P104" s="21">
        <f t="shared" si="40"/>
        <v>226.1946710584651</v>
      </c>
      <c r="Q104" s="29">
        <f t="shared" si="56"/>
        <v>2.0470105978141639E-2</v>
      </c>
      <c r="R104" s="21">
        <v>530</v>
      </c>
      <c r="S104" s="41">
        <f t="shared" si="57"/>
        <v>2.0153846153846153</v>
      </c>
      <c r="T104" s="41">
        <f t="shared" si="58"/>
        <v>1.9384615384615385</v>
      </c>
      <c r="U104" s="57">
        <v>9.5500000000000007</v>
      </c>
      <c r="V104">
        <f>0.85*39.2</f>
        <v>33.32</v>
      </c>
      <c r="W104" s="8" t="s">
        <v>457</v>
      </c>
      <c r="X104" s="7">
        <f t="shared" si="42"/>
        <v>0.75</v>
      </c>
      <c r="Y104">
        <f t="shared" si="63"/>
        <v>30</v>
      </c>
      <c r="Z104" s="8">
        <v>0.25</v>
      </c>
      <c r="AA104" s="8">
        <v>0.3</v>
      </c>
      <c r="AB104" s="66">
        <v>100</v>
      </c>
      <c r="AC104" s="8">
        <v>2000</v>
      </c>
      <c r="AD104" s="7">
        <f t="shared" si="44"/>
        <v>0.1875</v>
      </c>
      <c r="AE104" s="21">
        <f t="shared" si="26"/>
        <v>29945.5</v>
      </c>
      <c r="AF104" s="66">
        <f t="shared" si="64"/>
        <v>59.890999999999998</v>
      </c>
      <c r="AG104" s="45">
        <v>2.71</v>
      </c>
      <c r="AH104" s="45">
        <f t="shared" si="45"/>
        <v>0.46947967417747311</v>
      </c>
      <c r="AI104" s="45">
        <f t="shared" si="46"/>
        <v>0.84217231373060686</v>
      </c>
      <c r="AJ104" s="21">
        <f t="shared" si="61"/>
        <v>29.945499999999999</v>
      </c>
      <c r="AK104" s="21">
        <f t="shared" si="47"/>
        <v>0.31874999999999998</v>
      </c>
      <c r="AL104" s="21">
        <f t="shared" si="23"/>
        <v>0.1434375</v>
      </c>
      <c r="AM104" s="21">
        <f t="shared" si="59"/>
        <v>30.0889375</v>
      </c>
      <c r="AN104" s="41">
        <f t="shared" si="48"/>
        <v>2.722980769230769</v>
      </c>
      <c r="AO104" s="41">
        <f t="shared" si="49"/>
        <v>0.47172845916235667</v>
      </c>
      <c r="AP104" s="41">
        <f t="shared" si="50"/>
        <v>0.8462062784749167</v>
      </c>
      <c r="AQ104" s="21">
        <f t="shared" si="51"/>
        <v>2.5046737500000006E-2</v>
      </c>
      <c r="AR104" s="21">
        <f t="shared" si="52"/>
        <v>7.8457209999999993</v>
      </c>
      <c r="AS104" s="21">
        <f t="shared" si="53"/>
        <v>7.8707677374999996</v>
      </c>
      <c r="AT104" s="41">
        <f t="shared" si="54"/>
        <v>2.0121802975441874</v>
      </c>
      <c r="AU104" s="4"/>
    </row>
    <row r="105" spans="1:60" x14ac:dyDescent="0.25">
      <c r="B105" s="4" t="s">
        <v>140</v>
      </c>
      <c r="C105" s="8">
        <v>85</v>
      </c>
      <c r="D105" s="4">
        <v>150</v>
      </c>
      <c r="E105" s="8">
        <v>130</v>
      </c>
      <c r="F105" s="4">
        <f t="shared" si="62"/>
        <v>1230</v>
      </c>
      <c r="G105">
        <v>1030</v>
      </c>
      <c r="H105" s="4">
        <v>10</v>
      </c>
      <c r="I105" s="8">
        <v>85</v>
      </c>
      <c r="J105" s="4">
        <v>10</v>
      </c>
      <c r="K105" s="8">
        <v>85</v>
      </c>
      <c r="L105" s="4">
        <v>327</v>
      </c>
      <c r="M105">
        <f t="shared" si="39"/>
        <v>317</v>
      </c>
      <c r="N105" s="4">
        <v>2</v>
      </c>
      <c r="O105" s="4">
        <v>12</v>
      </c>
      <c r="P105" s="21">
        <f t="shared" si="40"/>
        <v>226.1946710584651</v>
      </c>
      <c r="Q105" s="29">
        <f t="shared" si="56"/>
        <v>2.0470105978141639E-2</v>
      </c>
      <c r="R105" s="21">
        <v>530</v>
      </c>
      <c r="S105" s="41">
        <f t="shared" si="57"/>
        <v>2.5153846153846153</v>
      </c>
      <c r="T105" s="41">
        <f t="shared" si="58"/>
        <v>2.4384615384615387</v>
      </c>
      <c r="U105" s="57">
        <v>9.5500000000000007</v>
      </c>
      <c r="V105">
        <f>0.85*39.2</f>
        <v>33.32</v>
      </c>
      <c r="W105" s="8" t="s">
        <v>457</v>
      </c>
      <c r="X105" s="7">
        <f t="shared" si="42"/>
        <v>0.75</v>
      </c>
      <c r="Y105">
        <f t="shared" si="63"/>
        <v>30</v>
      </c>
      <c r="Z105" s="8">
        <v>0.25</v>
      </c>
      <c r="AA105" s="8">
        <v>0.3</v>
      </c>
      <c r="AB105" s="66">
        <v>100</v>
      </c>
      <c r="AC105" s="8">
        <v>2000</v>
      </c>
      <c r="AD105" s="7">
        <f t="shared" si="44"/>
        <v>0.1875</v>
      </c>
      <c r="AE105" s="21">
        <f t="shared" si="26"/>
        <v>22873.5</v>
      </c>
      <c r="AF105" s="66">
        <f t="shared" si="64"/>
        <v>45.747</v>
      </c>
      <c r="AG105" s="45">
        <v>2.0699999999999998</v>
      </c>
      <c r="AH105" s="45">
        <f t="shared" si="45"/>
        <v>0.35860624558943516</v>
      </c>
      <c r="AI105" s="45">
        <f t="shared" si="46"/>
        <v>0.6432829112259616</v>
      </c>
      <c r="AJ105" s="21">
        <f t="shared" si="61"/>
        <v>22.8735</v>
      </c>
      <c r="AK105" s="21">
        <f t="shared" si="47"/>
        <v>0.31874999999999998</v>
      </c>
      <c r="AL105" s="21">
        <f t="shared" si="23"/>
        <v>0.16415625</v>
      </c>
      <c r="AM105" s="21">
        <f t="shared" si="59"/>
        <v>23.037656250000001</v>
      </c>
      <c r="AN105" s="41">
        <f t="shared" si="48"/>
        <v>2.0848557692307694</v>
      </c>
      <c r="AO105" s="41">
        <f t="shared" si="49"/>
        <v>0.36117985507213535</v>
      </c>
      <c r="AP105" s="41">
        <f t="shared" si="50"/>
        <v>0.64789955976667202</v>
      </c>
      <c r="AQ105" s="21">
        <f t="shared" si="51"/>
        <v>3.5043534374999991E-2</v>
      </c>
      <c r="AR105" s="21">
        <f t="shared" si="52"/>
        <v>7.4796345000000004</v>
      </c>
      <c r="AS105" s="21">
        <f t="shared" si="53"/>
        <v>7.5146780343750006</v>
      </c>
      <c r="AT105" s="41">
        <f t="shared" si="54"/>
        <v>2.509162174387356</v>
      </c>
      <c r="AU105" s="4"/>
    </row>
    <row r="106" spans="1:60" x14ac:dyDescent="0.25">
      <c r="B106" s="4" t="s">
        <v>141</v>
      </c>
      <c r="C106" s="8">
        <v>85</v>
      </c>
      <c r="D106" s="4">
        <v>150</v>
      </c>
      <c r="E106" s="8">
        <v>130</v>
      </c>
      <c r="F106" s="4">
        <f t="shared" si="62"/>
        <v>1360</v>
      </c>
      <c r="G106">
        <v>1160</v>
      </c>
      <c r="H106" s="4">
        <v>10</v>
      </c>
      <c r="I106" s="8">
        <v>85</v>
      </c>
      <c r="J106" s="4">
        <v>10</v>
      </c>
      <c r="K106" s="8">
        <v>85</v>
      </c>
      <c r="L106" s="4">
        <v>392</v>
      </c>
      <c r="M106">
        <f t="shared" si="39"/>
        <v>382</v>
      </c>
      <c r="N106" s="4">
        <v>2</v>
      </c>
      <c r="O106" s="4">
        <v>12</v>
      </c>
      <c r="P106" s="21">
        <f t="shared" si="40"/>
        <v>226.1946710584651</v>
      </c>
      <c r="Q106" s="29">
        <f t="shared" si="56"/>
        <v>2.0470105978141639E-2</v>
      </c>
      <c r="R106" s="21">
        <v>530</v>
      </c>
      <c r="S106" s="41">
        <f t="shared" si="57"/>
        <v>3.0153846153846153</v>
      </c>
      <c r="T106" s="41">
        <f t="shared" si="58"/>
        <v>2.9384615384615387</v>
      </c>
      <c r="U106" s="57">
        <v>9.5500000000000007</v>
      </c>
      <c r="V106">
        <f>0.85*39.2</f>
        <v>33.32</v>
      </c>
      <c r="W106" s="8" t="s">
        <v>457</v>
      </c>
      <c r="X106" s="7">
        <f t="shared" si="42"/>
        <v>0.75</v>
      </c>
      <c r="Y106">
        <f t="shared" si="63"/>
        <v>30</v>
      </c>
      <c r="Z106" s="8">
        <v>0.25</v>
      </c>
      <c r="AA106" s="8">
        <v>0.3</v>
      </c>
      <c r="AB106" s="66">
        <v>100</v>
      </c>
      <c r="AC106" s="8">
        <v>2000</v>
      </c>
      <c r="AD106" s="7">
        <f t="shared" si="44"/>
        <v>0.1875</v>
      </c>
      <c r="AE106" s="21">
        <f t="shared" si="26"/>
        <v>21437</v>
      </c>
      <c r="AF106" s="66">
        <f t="shared" si="64"/>
        <v>42.874000000000002</v>
      </c>
      <c r="AG106" s="45">
        <v>1.94</v>
      </c>
      <c r="AH106" s="45">
        <f t="shared" si="45"/>
        <v>0.33608508040748997</v>
      </c>
      <c r="AI106" s="45">
        <f t="shared" si="46"/>
        <v>0.60288350134220559</v>
      </c>
      <c r="AJ106" s="21">
        <f t="shared" si="61"/>
        <v>21.437000000000001</v>
      </c>
      <c r="AK106" s="21">
        <f t="shared" si="47"/>
        <v>0.31874999999999998</v>
      </c>
      <c r="AL106" s="21">
        <f t="shared" si="23"/>
        <v>0.18487499999999996</v>
      </c>
      <c r="AM106" s="21">
        <f t="shared" si="59"/>
        <v>21.621875000000003</v>
      </c>
      <c r="AN106" s="41">
        <f t="shared" si="48"/>
        <v>1.9567307692307696</v>
      </c>
      <c r="AO106" s="41">
        <f t="shared" si="49"/>
        <v>0.33898351438800667</v>
      </c>
      <c r="AP106" s="41">
        <f t="shared" si="50"/>
        <v>0.60808283367931637</v>
      </c>
      <c r="AQ106" s="21">
        <f t="shared" si="51"/>
        <v>4.6387049999999999E-2</v>
      </c>
      <c r="AR106" s="21">
        <f t="shared" si="52"/>
        <v>8.4033040000000003</v>
      </c>
      <c r="AS106" s="21">
        <f t="shared" si="53"/>
        <v>8.4496910500000002</v>
      </c>
      <c r="AT106" s="41">
        <f t="shared" si="54"/>
        <v>3.006104857304857</v>
      </c>
      <c r="AU106" s="4"/>
    </row>
    <row r="107" spans="1:60" x14ac:dyDescent="0.25">
      <c r="B107" s="4" t="s">
        <v>142</v>
      </c>
      <c r="C107" s="8">
        <v>85</v>
      </c>
      <c r="D107" s="4">
        <v>150</v>
      </c>
      <c r="E107" s="8">
        <v>130</v>
      </c>
      <c r="F107" s="4">
        <f t="shared" si="62"/>
        <v>1360</v>
      </c>
      <c r="G107">
        <v>1160</v>
      </c>
      <c r="H107" s="4">
        <v>10</v>
      </c>
      <c r="I107" s="8">
        <v>85</v>
      </c>
      <c r="J107" s="4">
        <v>10</v>
      </c>
      <c r="K107" s="8">
        <v>85</v>
      </c>
      <c r="L107" s="4">
        <v>392</v>
      </c>
      <c r="M107">
        <f t="shared" si="39"/>
        <v>382</v>
      </c>
      <c r="N107" s="4">
        <v>2</v>
      </c>
      <c r="O107" s="4">
        <v>12</v>
      </c>
      <c r="P107" s="21">
        <f t="shared" si="40"/>
        <v>226.1946710584651</v>
      </c>
      <c r="Q107" s="29">
        <f t="shared" si="56"/>
        <v>2.0470105978141639E-2</v>
      </c>
      <c r="R107" s="21">
        <v>530</v>
      </c>
      <c r="S107" s="41">
        <f t="shared" si="57"/>
        <v>3.0153846153846153</v>
      </c>
      <c r="T107" s="41">
        <f t="shared" si="58"/>
        <v>2.9384615384615387</v>
      </c>
      <c r="U107" s="57">
        <v>9.5500000000000007</v>
      </c>
      <c r="V107">
        <f>0.85*60.8</f>
        <v>51.68</v>
      </c>
      <c r="W107" s="8" t="s">
        <v>457</v>
      </c>
      <c r="X107" s="7">
        <f t="shared" si="42"/>
        <v>0.75</v>
      </c>
      <c r="Y107">
        <f t="shared" si="63"/>
        <v>39.9</v>
      </c>
      <c r="Z107" s="8">
        <v>0.5</v>
      </c>
      <c r="AA107" s="8">
        <v>0.3</v>
      </c>
      <c r="AB107" s="66">
        <v>133</v>
      </c>
      <c r="AC107" s="8">
        <v>2000</v>
      </c>
      <c r="AD107" s="7">
        <f t="shared" si="44"/>
        <v>0.49875000000000003</v>
      </c>
      <c r="AE107" s="21">
        <f t="shared" si="26"/>
        <v>35691.5</v>
      </c>
      <c r="AF107" s="66">
        <f t="shared" si="64"/>
        <v>71.382999999999996</v>
      </c>
      <c r="AG107" s="45">
        <v>3.23</v>
      </c>
      <c r="AH107" s="45">
        <f t="shared" si="45"/>
        <v>0.44930501889028568</v>
      </c>
      <c r="AI107" s="45">
        <f t="shared" si="46"/>
        <v>0.86715158185241925</v>
      </c>
      <c r="AJ107" s="21">
        <f t="shared" si="61"/>
        <v>35.691499999999998</v>
      </c>
      <c r="AK107" s="21">
        <f t="shared" si="47"/>
        <v>0.31874999999999998</v>
      </c>
      <c r="AL107" s="21">
        <f t="shared" ref="AL107:AL170" si="65">25*C107/1000*D107/1000*F107/1000-25*C107/1000*D107/1000*F107/1000*(F107/2000-(F107-G107)/2000)*1/(G107/1000)-25*C107/1000*D107/1000*(F107-G107)/2000</f>
        <v>0.18487499999999996</v>
      </c>
      <c r="AM107" s="21">
        <f t="shared" si="59"/>
        <v>35.876374999999996</v>
      </c>
      <c r="AN107" s="41">
        <f t="shared" si="48"/>
        <v>3.2467307692307688</v>
      </c>
      <c r="AO107" s="41">
        <f t="shared" si="49"/>
        <v>0.45163233114579021</v>
      </c>
      <c r="AP107" s="41">
        <f t="shared" si="50"/>
        <v>0.87164325770507223</v>
      </c>
      <c r="AQ107" s="21">
        <f t="shared" si="51"/>
        <v>4.6387049999999999E-2</v>
      </c>
      <c r="AR107" s="21">
        <f t="shared" si="52"/>
        <v>13.991067999999999</v>
      </c>
      <c r="AS107" s="21">
        <f t="shared" si="53"/>
        <v>14.037455049999998</v>
      </c>
      <c r="AT107" s="41">
        <f t="shared" si="54"/>
        <v>3.0097919163108999</v>
      </c>
      <c r="AU107" s="4"/>
    </row>
    <row r="108" spans="1:60" x14ac:dyDescent="0.25">
      <c r="B108" s="4" t="s">
        <v>143</v>
      </c>
      <c r="C108" s="8">
        <v>85</v>
      </c>
      <c r="D108" s="4">
        <v>150</v>
      </c>
      <c r="E108" s="8">
        <v>130</v>
      </c>
      <c r="F108" s="4">
        <f t="shared" si="62"/>
        <v>1360</v>
      </c>
      <c r="G108">
        <v>1160</v>
      </c>
      <c r="H108" s="4">
        <v>10</v>
      </c>
      <c r="I108" s="8">
        <v>85</v>
      </c>
      <c r="J108" s="4">
        <v>10</v>
      </c>
      <c r="K108" s="8">
        <v>85</v>
      </c>
      <c r="L108" s="4">
        <v>392</v>
      </c>
      <c r="M108">
        <f t="shared" si="39"/>
        <v>382</v>
      </c>
      <c r="N108" s="4">
        <v>2</v>
      </c>
      <c r="O108" s="4">
        <v>12</v>
      </c>
      <c r="P108" s="21">
        <f t="shared" si="40"/>
        <v>226.1946710584651</v>
      </c>
      <c r="Q108" s="29">
        <f t="shared" si="56"/>
        <v>2.0470105978141639E-2</v>
      </c>
      <c r="R108" s="21">
        <v>530</v>
      </c>
      <c r="S108" s="41">
        <f t="shared" si="57"/>
        <v>3.0153846153846153</v>
      </c>
      <c r="T108" s="41">
        <f t="shared" si="58"/>
        <v>2.9384615384615387</v>
      </c>
      <c r="U108" s="57">
        <v>9.5500000000000007</v>
      </c>
      <c r="V108">
        <f>0.85*36</f>
        <v>30.599999999999998</v>
      </c>
      <c r="W108" s="8" t="s">
        <v>457</v>
      </c>
      <c r="X108" s="7">
        <f t="shared" si="42"/>
        <v>0.75</v>
      </c>
      <c r="Y108">
        <f t="shared" si="63"/>
        <v>39.9</v>
      </c>
      <c r="Z108" s="8">
        <v>0.5</v>
      </c>
      <c r="AA108" s="8">
        <v>0.3</v>
      </c>
      <c r="AB108" s="66">
        <v>133</v>
      </c>
      <c r="AC108" s="8">
        <v>2000</v>
      </c>
      <c r="AD108" s="7">
        <f t="shared" si="44"/>
        <v>0.49875000000000003</v>
      </c>
      <c r="AE108" s="21">
        <f t="shared" si="26"/>
        <v>21768.5</v>
      </c>
      <c r="AF108" s="66">
        <f t="shared" si="64"/>
        <v>43.536999999999999</v>
      </c>
      <c r="AG108" s="45">
        <v>1.97</v>
      </c>
      <c r="AH108" s="45">
        <f t="shared" si="45"/>
        <v>0.35612750158562723</v>
      </c>
      <c r="AI108" s="45">
        <f t="shared" si="46"/>
        <v>0.6298334916048991</v>
      </c>
      <c r="AJ108" s="21">
        <f t="shared" si="61"/>
        <v>21.7685</v>
      </c>
      <c r="AK108" s="21">
        <f t="shared" si="47"/>
        <v>0.31874999999999998</v>
      </c>
      <c r="AL108" s="21">
        <f t="shared" si="65"/>
        <v>0.18487499999999996</v>
      </c>
      <c r="AM108" s="21">
        <f t="shared" si="59"/>
        <v>21.953375000000001</v>
      </c>
      <c r="AN108" s="41">
        <f t="shared" si="48"/>
        <v>1.9867307692307692</v>
      </c>
      <c r="AO108" s="41">
        <f t="shared" si="49"/>
        <v>0.3591520127763681</v>
      </c>
      <c r="AP108" s="41">
        <f t="shared" si="50"/>
        <v>0.63518252652969664</v>
      </c>
      <c r="AQ108" s="21">
        <f t="shared" si="51"/>
        <v>4.6387049999999999E-2</v>
      </c>
      <c r="AR108" s="21">
        <f t="shared" si="52"/>
        <v>8.5332520000000009</v>
      </c>
      <c r="AS108" s="21">
        <f t="shared" si="53"/>
        <v>8.5796390500000008</v>
      </c>
      <c r="AT108" s="41">
        <f t="shared" si="54"/>
        <v>3.0062449833585254</v>
      </c>
      <c r="AU108" s="4"/>
    </row>
    <row r="109" spans="1:60" x14ac:dyDescent="0.25">
      <c r="B109" s="4" t="s">
        <v>144</v>
      </c>
      <c r="C109" s="8">
        <v>85</v>
      </c>
      <c r="D109" s="4">
        <v>150</v>
      </c>
      <c r="E109" s="8">
        <v>130</v>
      </c>
      <c r="F109" s="4">
        <f t="shared" si="62"/>
        <v>1360</v>
      </c>
      <c r="G109">
        <v>1160</v>
      </c>
      <c r="H109" s="4">
        <v>10</v>
      </c>
      <c r="I109" s="8">
        <v>85</v>
      </c>
      <c r="J109" s="4">
        <v>10</v>
      </c>
      <c r="K109" s="8">
        <v>85</v>
      </c>
      <c r="L109" s="4">
        <v>392</v>
      </c>
      <c r="M109">
        <f t="shared" si="39"/>
        <v>382</v>
      </c>
      <c r="N109" s="4">
        <v>2</v>
      </c>
      <c r="O109" s="4">
        <v>12</v>
      </c>
      <c r="P109" s="21">
        <f t="shared" si="40"/>
        <v>226.1946710584651</v>
      </c>
      <c r="Q109" s="29">
        <f t="shared" si="56"/>
        <v>2.0470105978141639E-2</v>
      </c>
      <c r="R109" s="21">
        <v>530</v>
      </c>
      <c r="S109" s="41">
        <f t="shared" si="57"/>
        <v>3.0153846153846153</v>
      </c>
      <c r="T109" s="41">
        <f t="shared" si="58"/>
        <v>2.9384615384615387</v>
      </c>
      <c r="U109" s="57">
        <v>9.5500000000000007</v>
      </c>
      <c r="V109">
        <f>0.85*36.5</f>
        <v>31.024999999999999</v>
      </c>
      <c r="W109" s="8" t="s">
        <v>457</v>
      </c>
      <c r="X109" s="7">
        <f t="shared" si="42"/>
        <v>0.75</v>
      </c>
      <c r="Y109">
        <f t="shared" si="63"/>
        <v>30</v>
      </c>
      <c r="Z109" s="8">
        <v>1</v>
      </c>
      <c r="AA109" s="8">
        <v>0.3</v>
      </c>
      <c r="AB109" s="66">
        <v>100</v>
      </c>
      <c r="AC109" s="8">
        <v>2000</v>
      </c>
      <c r="AD109" s="7">
        <f t="shared" si="44"/>
        <v>0.75</v>
      </c>
      <c r="AE109" s="21">
        <f t="shared" si="26"/>
        <v>32818.5</v>
      </c>
      <c r="AF109" s="66">
        <f t="shared" si="64"/>
        <v>65.637</v>
      </c>
      <c r="AG109" s="45">
        <v>2.97</v>
      </c>
      <c r="AH109" s="45">
        <f t="shared" si="45"/>
        <v>0.53321278519454451</v>
      </c>
      <c r="AI109" s="45">
        <f t="shared" si="46"/>
        <v>0.94519014740038709</v>
      </c>
      <c r="AJ109" s="21">
        <f t="shared" si="61"/>
        <v>32.8185</v>
      </c>
      <c r="AK109" s="21">
        <f t="shared" si="47"/>
        <v>0.31874999999999998</v>
      </c>
      <c r="AL109" s="21">
        <f t="shared" si="65"/>
        <v>0.18487499999999996</v>
      </c>
      <c r="AM109" s="21">
        <f t="shared" si="59"/>
        <v>33.003374999999998</v>
      </c>
      <c r="AN109" s="41">
        <f t="shared" si="48"/>
        <v>2.9867307692307694</v>
      </c>
      <c r="AO109" s="41">
        <f t="shared" si="49"/>
        <v>0.5362165091204657</v>
      </c>
      <c r="AP109" s="41">
        <f t="shared" si="50"/>
        <v>0.95051464512272799</v>
      </c>
      <c r="AQ109" s="21">
        <f t="shared" si="51"/>
        <v>4.6387049999999999E-2</v>
      </c>
      <c r="AR109" s="21">
        <f t="shared" si="52"/>
        <v>12.864852000000001</v>
      </c>
      <c r="AS109" s="21">
        <f t="shared" si="53"/>
        <v>12.911239050000001</v>
      </c>
      <c r="AT109" s="41">
        <f t="shared" si="54"/>
        <v>3.0093050623319129</v>
      </c>
      <c r="AU109" s="4"/>
    </row>
    <row r="110" spans="1:60" x14ac:dyDescent="0.25">
      <c r="B110" s="4" t="s">
        <v>145</v>
      </c>
      <c r="C110" s="8">
        <v>85</v>
      </c>
      <c r="D110" s="4">
        <v>150</v>
      </c>
      <c r="E110" s="8">
        <v>130</v>
      </c>
      <c r="F110" s="4">
        <f t="shared" si="62"/>
        <v>1100</v>
      </c>
      <c r="G110">
        <v>900</v>
      </c>
      <c r="H110" s="4">
        <v>10</v>
      </c>
      <c r="I110" s="8">
        <v>85</v>
      </c>
      <c r="J110" s="4">
        <v>10</v>
      </c>
      <c r="K110" s="8">
        <v>85</v>
      </c>
      <c r="L110" s="4">
        <v>262</v>
      </c>
      <c r="M110">
        <f t="shared" si="39"/>
        <v>252</v>
      </c>
      <c r="N110" s="4">
        <v>2</v>
      </c>
      <c r="O110" s="4">
        <v>12</v>
      </c>
      <c r="P110" s="21">
        <f t="shared" si="40"/>
        <v>226.1946710584651</v>
      </c>
      <c r="Q110" s="29">
        <f t="shared" si="56"/>
        <v>2.0470105978141639E-2</v>
      </c>
      <c r="R110" s="21">
        <v>530</v>
      </c>
      <c r="S110" s="41">
        <f t="shared" si="57"/>
        <v>2.0153846153846153</v>
      </c>
      <c r="T110" s="41">
        <f t="shared" si="58"/>
        <v>1.9384615384615385</v>
      </c>
      <c r="U110" s="57">
        <v>9.5500000000000007</v>
      </c>
      <c r="V110">
        <f>0.85*60.8</f>
        <v>51.68</v>
      </c>
      <c r="W110" s="8" t="s">
        <v>457</v>
      </c>
      <c r="X110" s="7">
        <f t="shared" si="42"/>
        <v>0.75</v>
      </c>
      <c r="Y110">
        <f t="shared" si="63"/>
        <v>39.9</v>
      </c>
      <c r="Z110" s="8">
        <v>0.5</v>
      </c>
      <c r="AA110" s="8">
        <v>0.3</v>
      </c>
      <c r="AB110" s="66">
        <v>133</v>
      </c>
      <c r="AC110" s="8">
        <v>2000</v>
      </c>
      <c r="AD110" s="7">
        <f t="shared" si="44"/>
        <v>0.49875000000000003</v>
      </c>
      <c r="AE110" s="21">
        <f t="shared" si="26"/>
        <v>51051</v>
      </c>
      <c r="AF110" s="66">
        <f t="shared" si="64"/>
        <v>102.102</v>
      </c>
      <c r="AG110" s="45">
        <v>4.62</v>
      </c>
      <c r="AH110" s="45">
        <f t="shared" si="45"/>
        <v>0.64265919110622904</v>
      </c>
      <c r="AI110" s="45">
        <f t="shared" si="46"/>
        <v>1.240322076829157</v>
      </c>
      <c r="AJ110" s="21">
        <f t="shared" si="61"/>
        <v>51.051000000000002</v>
      </c>
      <c r="AK110" s="21">
        <f t="shared" si="47"/>
        <v>0.31874999999999998</v>
      </c>
      <c r="AL110" s="21">
        <f t="shared" si="65"/>
        <v>0.1434375</v>
      </c>
      <c r="AM110" s="21">
        <f t="shared" si="59"/>
        <v>51.194437499999999</v>
      </c>
      <c r="AN110" s="41">
        <f t="shared" si="48"/>
        <v>4.6329807692307696</v>
      </c>
      <c r="AO110" s="41">
        <f t="shared" si="49"/>
        <v>0.64446486440791373</v>
      </c>
      <c r="AP110" s="41">
        <f t="shared" si="50"/>
        <v>1.2438069977493189</v>
      </c>
      <c r="AQ110" s="21">
        <f t="shared" si="51"/>
        <v>2.5046737500000006E-2</v>
      </c>
      <c r="AR110" s="21">
        <f t="shared" si="52"/>
        <v>13.375362000000001</v>
      </c>
      <c r="AS110" s="21">
        <f t="shared" si="53"/>
        <v>13.400408737500001</v>
      </c>
      <c r="AT110" s="41">
        <f t="shared" si="54"/>
        <v>2.0135013146992478</v>
      </c>
      <c r="AU110" s="4"/>
    </row>
    <row r="111" spans="1:60" x14ac:dyDescent="0.25">
      <c r="B111" s="4" t="s">
        <v>146</v>
      </c>
      <c r="C111" s="8">
        <v>85</v>
      </c>
      <c r="D111" s="4">
        <v>150</v>
      </c>
      <c r="E111" s="8">
        <v>130</v>
      </c>
      <c r="F111" s="4">
        <f t="shared" si="62"/>
        <v>1230</v>
      </c>
      <c r="G111">
        <v>1030</v>
      </c>
      <c r="H111" s="4">
        <v>10</v>
      </c>
      <c r="I111" s="8">
        <v>85</v>
      </c>
      <c r="J111" s="4">
        <v>10</v>
      </c>
      <c r="K111" s="8">
        <v>85</v>
      </c>
      <c r="L111" s="4">
        <v>327</v>
      </c>
      <c r="M111">
        <f t="shared" si="39"/>
        <v>317</v>
      </c>
      <c r="N111" s="4">
        <v>2</v>
      </c>
      <c r="O111" s="4">
        <v>12</v>
      </c>
      <c r="P111" s="21">
        <f t="shared" si="40"/>
        <v>226.1946710584651</v>
      </c>
      <c r="Q111" s="29">
        <f t="shared" si="56"/>
        <v>2.0470105978141639E-2</v>
      </c>
      <c r="R111" s="21">
        <v>530</v>
      </c>
      <c r="S111" s="41">
        <f t="shared" si="57"/>
        <v>2.5153846153846153</v>
      </c>
      <c r="T111" s="41">
        <f t="shared" si="58"/>
        <v>2.4384615384615387</v>
      </c>
      <c r="U111" s="57">
        <v>9.5500000000000007</v>
      </c>
      <c r="V111">
        <f>0.85*60.8</f>
        <v>51.68</v>
      </c>
      <c r="W111" s="8" t="s">
        <v>457</v>
      </c>
      <c r="X111" s="7">
        <f t="shared" si="42"/>
        <v>0.75</v>
      </c>
      <c r="Y111">
        <f t="shared" si="63"/>
        <v>39.9</v>
      </c>
      <c r="Z111" s="8">
        <v>0.5</v>
      </c>
      <c r="AA111" s="8">
        <v>0.3</v>
      </c>
      <c r="AB111" s="66">
        <v>133</v>
      </c>
      <c r="AC111" s="8">
        <v>2000</v>
      </c>
      <c r="AD111" s="7">
        <f t="shared" si="44"/>
        <v>0.49875000000000003</v>
      </c>
      <c r="AE111" s="21">
        <f t="shared" si="26"/>
        <v>40774.5</v>
      </c>
      <c r="AF111" s="66">
        <f t="shared" si="64"/>
        <v>81.549000000000007</v>
      </c>
      <c r="AG111" s="45">
        <v>3.69</v>
      </c>
      <c r="AH111" s="45">
        <f t="shared" si="45"/>
        <v>0.51329273055887126</v>
      </c>
      <c r="AI111" s="45">
        <f t="shared" si="46"/>
        <v>0.99064685357133964</v>
      </c>
      <c r="AJ111" s="21">
        <f t="shared" si="61"/>
        <v>40.774500000000003</v>
      </c>
      <c r="AK111" s="21">
        <f t="shared" si="47"/>
        <v>0.31874999999999998</v>
      </c>
      <c r="AL111" s="21">
        <f t="shared" si="65"/>
        <v>0.16415625</v>
      </c>
      <c r="AM111" s="21">
        <f t="shared" si="59"/>
        <v>40.938656250000001</v>
      </c>
      <c r="AN111" s="41">
        <f t="shared" si="48"/>
        <v>3.7048557692307691</v>
      </c>
      <c r="AO111" s="41">
        <f t="shared" si="49"/>
        <v>0.51535922333746587</v>
      </c>
      <c r="AP111" s="41">
        <f t="shared" si="50"/>
        <v>0.9946351519577471</v>
      </c>
      <c r="AQ111" s="21">
        <f t="shared" si="51"/>
        <v>3.5043534374999991E-2</v>
      </c>
      <c r="AR111" s="21">
        <f t="shared" si="52"/>
        <v>13.333261500000001</v>
      </c>
      <c r="AS111" s="21">
        <f t="shared" si="53"/>
        <v>13.368305034375</v>
      </c>
      <c r="AT111" s="41">
        <f t="shared" si="54"/>
        <v>2.5118830237384371</v>
      </c>
      <c r="AU111" s="4"/>
    </row>
    <row r="112" spans="1:60" x14ac:dyDescent="0.25">
      <c r="B112" s="4" t="s">
        <v>147</v>
      </c>
      <c r="C112" s="8">
        <v>85</v>
      </c>
      <c r="D112" s="4">
        <v>150</v>
      </c>
      <c r="E112" s="8">
        <v>130</v>
      </c>
      <c r="F112" s="4">
        <f t="shared" si="62"/>
        <v>1490</v>
      </c>
      <c r="G112">
        <v>1290</v>
      </c>
      <c r="H112" s="4">
        <v>10</v>
      </c>
      <c r="I112" s="8">
        <v>85</v>
      </c>
      <c r="J112" s="4">
        <v>10</v>
      </c>
      <c r="K112" s="8">
        <v>85</v>
      </c>
      <c r="L112" s="4">
        <v>457</v>
      </c>
      <c r="M112">
        <f t="shared" si="39"/>
        <v>447</v>
      </c>
      <c r="N112" s="4">
        <v>2</v>
      </c>
      <c r="O112" s="4">
        <v>12</v>
      </c>
      <c r="P112" s="21">
        <f t="shared" si="40"/>
        <v>226.1946710584651</v>
      </c>
      <c r="Q112" s="29">
        <f t="shared" si="56"/>
        <v>2.0470105978141639E-2</v>
      </c>
      <c r="R112" s="21">
        <v>530</v>
      </c>
      <c r="S112" s="41">
        <f t="shared" si="57"/>
        <v>3.5153846153846153</v>
      </c>
      <c r="T112" s="41">
        <f t="shared" si="58"/>
        <v>3.4384615384615387</v>
      </c>
      <c r="U112" s="57">
        <v>9.5500000000000007</v>
      </c>
      <c r="V112">
        <f>0.85*49</f>
        <v>41.65</v>
      </c>
      <c r="W112" s="8" t="s">
        <v>457</v>
      </c>
      <c r="X112" s="7">
        <f t="shared" si="42"/>
        <v>0.75</v>
      </c>
      <c r="Y112">
        <f t="shared" si="63"/>
        <v>39.9</v>
      </c>
      <c r="Z112" s="8">
        <v>0.5</v>
      </c>
      <c r="AA112" s="8">
        <v>0.3</v>
      </c>
      <c r="AB112" s="66">
        <v>133</v>
      </c>
      <c r="AC112" s="8">
        <v>2000</v>
      </c>
      <c r="AD112" s="7">
        <f t="shared" si="44"/>
        <v>0.49875000000000003</v>
      </c>
      <c r="AE112" s="21">
        <f t="shared" si="26"/>
        <v>28840.5</v>
      </c>
      <c r="AF112" s="66">
        <f t="shared" si="64"/>
        <v>57.680999999999997</v>
      </c>
      <c r="AG112" s="45">
        <v>2.61</v>
      </c>
      <c r="AH112" s="45">
        <f t="shared" si="45"/>
        <v>0.40442035350478045</v>
      </c>
      <c r="AI112" s="45">
        <f t="shared" si="46"/>
        <v>0.75295468304704327</v>
      </c>
      <c r="AJ112" s="21">
        <f t="shared" si="61"/>
        <v>28.840499999999999</v>
      </c>
      <c r="AK112" s="21">
        <f t="shared" si="47"/>
        <v>0.31874999999999998</v>
      </c>
      <c r="AL112" s="21">
        <f t="shared" si="65"/>
        <v>0.20559374999999999</v>
      </c>
      <c r="AM112" s="21">
        <f t="shared" si="59"/>
        <v>29.046093749999997</v>
      </c>
      <c r="AN112" s="41">
        <f t="shared" si="48"/>
        <v>2.6286057692307687</v>
      </c>
      <c r="AO112" s="41">
        <f t="shared" si="49"/>
        <v>0.40730332353142257</v>
      </c>
      <c r="AP112" s="41">
        <f t="shared" si="50"/>
        <v>0.75832223135125787</v>
      </c>
      <c r="AQ112" s="21">
        <f t="shared" si="51"/>
        <v>5.9077284374999976E-2</v>
      </c>
      <c r="AR112" s="21">
        <f t="shared" si="52"/>
        <v>13.180108500000001</v>
      </c>
      <c r="AS112" s="21">
        <f t="shared" si="53"/>
        <v>13.239185784375001</v>
      </c>
      <c r="AT112" s="41">
        <f t="shared" si="54"/>
        <v>3.5061475572438545</v>
      </c>
      <c r="AU112" s="4"/>
    </row>
    <row r="113" spans="1:60" x14ac:dyDescent="0.25">
      <c r="B113" s="4" t="s">
        <v>148</v>
      </c>
      <c r="C113" s="8">
        <v>85</v>
      </c>
      <c r="D113" s="4">
        <v>150</v>
      </c>
      <c r="E113" s="8">
        <v>130</v>
      </c>
      <c r="F113" s="4">
        <f t="shared" si="62"/>
        <v>1100</v>
      </c>
      <c r="G113">
        <v>900</v>
      </c>
      <c r="H113" s="4">
        <v>10</v>
      </c>
      <c r="I113" s="8">
        <v>85</v>
      </c>
      <c r="J113" s="4">
        <v>10</v>
      </c>
      <c r="K113" s="8">
        <v>85</v>
      </c>
      <c r="L113" s="4">
        <v>262</v>
      </c>
      <c r="M113">
        <f t="shared" si="39"/>
        <v>252</v>
      </c>
      <c r="N113" s="4">
        <v>2</v>
      </c>
      <c r="O113" s="4">
        <v>12</v>
      </c>
      <c r="P113" s="21">
        <f t="shared" si="40"/>
        <v>226.1946710584651</v>
      </c>
      <c r="Q113" s="29">
        <f t="shared" si="56"/>
        <v>2.0470105978141639E-2</v>
      </c>
      <c r="R113" s="21">
        <v>530</v>
      </c>
      <c r="S113" s="41">
        <f t="shared" si="57"/>
        <v>2.0153846153846153</v>
      </c>
      <c r="T113" s="41">
        <f t="shared" si="58"/>
        <v>1.9384615384615385</v>
      </c>
      <c r="U113" s="57">
        <v>9.5500000000000007</v>
      </c>
      <c r="V113">
        <f>0.85*57.3</f>
        <v>48.704999999999998</v>
      </c>
      <c r="W113" s="8" t="s">
        <v>457</v>
      </c>
      <c r="X113" s="7">
        <f t="shared" si="42"/>
        <v>0.75</v>
      </c>
      <c r="Y113">
        <f t="shared" si="63"/>
        <v>39.9</v>
      </c>
      <c r="Z113" s="8">
        <v>1</v>
      </c>
      <c r="AA113" s="8">
        <v>0.3</v>
      </c>
      <c r="AB113" s="66">
        <v>133</v>
      </c>
      <c r="AC113" s="8">
        <v>2000</v>
      </c>
      <c r="AD113" s="7">
        <f t="shared" si="44"/>
        <v>0.99750000000000005</v>
      </c>
      <c r="AE113" s="21">
        <f t="shared" si="26"/>
        <v>61548.500000000007</v>
      </c>
      <c r="AF113" s="66">
        <f t="shared" si="64"/>
        <v>123.09700000000001</v>
      </c>
      <c r="AG113" s="45">
        <v>5.57</v>
      </c>
      <c r="AH113" s="45">
        <f t="shared" si="45"/>
        <v>0.79812041799593758</v>
      </c>
      <c r="AI113" s="45">
        <f t="shared" si="46"/>
        <v>1.5252136356493378</v>
      </c>
      <c r="AJ113" s="21">
        <f t="shared" si="61"/>
        <v>61.548500000000004</v>
      </c>
      <c r="AK113" s="21">
        <f t="shared" si="47"/>
        <v>0.31874999999999998</v>
      </c>
      <c r="AL113" s="21">
        <f t="shared" si="65"/>
        <v>0.1434375</v>
      </c>
      <c r="AM113" s="21">
        <f t="shared" si="59"/>
        <v>61.691937500000002</v>
      </c>
      <c r="AN113" s="41">
        <f t="shared" si="48"/>
        <v>5.5829807692307689</v>
      </c>
      <c r="AO113" s="41">
        <f t="shared" si="49"/>
        <v>0.79998042104160549</v>
      </c>
      <c r="AP113" s="41">
        <f t="shared" si="50"/>
        <v>1.5287681143265346</v>
      </c>
      <c r="AQ113" s="21">
        <f t="shared" si="51"/>
        <v>2.5046737500000006E-2</v>
      </c>
      <c r="AR113" s="21">
        <f t="shared" si="52"/>
        <v>16.125707000000002</v>
      </c>
      <c r="AS113" s="21">
        <f t="shared" si="53"/>
        <v>16.150753737500001</v>
      </c>
      <c r="AT113" s="41">
        <f t="shared" si="54"/>
        <v>2.013821777141275</v>
      </c>
      <c r="AU113" s="4"/>
    </row>
    <row r="114" spans="1:60" x14ac:dyDescent="0.25">
      <c r="B114" s="4" t="s">
        <v>149</v>
      </c>
      <c r="C114" s="8">
        <v>85</v>
      </c>
      <c r="D114" s="4">
        <v>150</v>
      </c>
      <c r="E114" s="8">
        <v>130</v>
      </c>
      <c r="F114" s="4">
        <f t="shared" si="62"/>
        <v>1230</v>
      </c>
      <c r="G114">
        <v>1030</v>
      </c>
      <c r="H114" s="4">
        <v>10</v>
      </c>
      <c r="I114" s="8">
        <v>85</v>
      </c>
      <c r="J114" s="4">
        <v>10</v>
      </c>
      <c r="K114" s="8">
        <v>85</v>
      </c>
      <c r="L114" s="4">
        <v>327</v>
      </c>
      <c r="M114">
        <f t="shared" si="39"/>
        <v>317</v>
      </c>
      <c r="N114" s="4">
        <v>2</v>
      </c>
      <c r="O114" s="4">
        <v>12</v>
      </c>
      <c r="P114" s="21">
        <f t="shared" si="40"/>
        <v>226.1946710584651</v>
      </c>
      <c r="Q114" s="29">
        <f t="shared" si="56"/>
        <v>2.0470105978141639E-2</v>
      </c>
      <c r="R114" s="21">
        <v>530</v>
      </c>
      <c r="S114" s="41">
        <f t="shared" si="57"/>
        <v>2.5153846153846153</v>
      </c>
      <c r="T114" s="41">
        <f t="shared" si="58"/>
        <v>2.4384615384615387</v>
      </c>
      <c r="U114" s="57">
        <v>9.5500000000000007</v>
      </c>
      <c r="V114">
        <f>0.85*57.3</f>
        <v>48.704999999999998</v>
      </c>
      <c r="W114" s="8" t="s">
        <v>457</v>
      </c>
      <c r="X114" s="7">
        <f t="shared" si="42"/>
        <v>0.75</v>
      </c>
      <c r="Y114">
        <f t="shared" si="63"/>
        <v>39.9</v>
      </c>
      <c r="Z114" s="8">
        <v>1</v>
      </c>
      <c r="AA114" s="8">
        <v>0.3</v>
      </c>
      <c r="AB114" s="66">
        <v>133</v>
      </c>
      <c r="AC114" s="8">
        <v>2000</v>
      </c>
      <c r="AD114" s="7">
        <f t="shared" si="44"/>
        <v>0.99750000000000005</v>
      </c>
      <c r="AE114" s="21">
        <f t="shared" ref="AE114:AE177" si="66">AJ114*1000</f>
        <v>48841</v>
      </c>
      <c r="AF114" s="66">
        <f t="shared" si="64"/>
        <v>97.682000000000002</v>
      </c>
      <c r="AG114" s="45">
        <v>4.42</v>
      </c>
      <c r="AH114" s="45">
        <f t="shared" si="45"/>
        <v>0.63333792595009764</v>
      </c>
      <c r="AI114" s="45">
        <f t="shared" si="46"/>
        <v>1.2103131543213774</v>
      </c>
      <c r="AJ114" s="21">
        <f t="shared" si="61"/>
        <v>48.841000000000001</v>
      </c>
      <c r="AK114" s="21">
        <f t="shared" si="47"/>
        <v>0.31874999999999998</v>
      </c>
      <c r="AL114" s="21">
        <f t="shared" si="65"/>
        <v>0.16415625</v>
      </c>
      <c r="AM114" s="21">
        <f t="shared" si="59"/>
        <v>49.005156249999999</v>
      </c>
      <c r="AN114" s="41">
        <f t="shared" si="48"/>
        <v>4.4348557692307695</v>
      </c>
      <c r="AO114" s="41">
        <f t="shared" si="49"/>
        <v>0.63546659610236211</v>
      </c>
      <c r="AP114" s="41">
        <f t="shared" si="50"/>
        <v>1.2143810576963918</v>
      </c>
      <c r="AQ114" s="21">
        <f t="shared" si="51"/>
        <v>3.5043534374999991E-2</v>
      </c>
      <c r="AR114" s="21">
        <f t="shared" si="52"/>
        <v>15.971007</v>
      </c>
      <c r="AS114" s="21">
        <f t="shared" si="53"/>
        <v>16.006050534374999</v>
      </c>
      <c r="AT114" s="41">
        <f t="shared" si="54"/>
        <v>2.5124594036783314</v>
      </c>
      <c r="AU114" s="4"/>
    </row>
    <row r="115" spans="1:60" x14ac:dyDescent="0.25">
      <c r="B115" s="4" t="s">
        <v>150</v>
      </c>
      <c r="C115" s="8">
        <v>85</v>
      </c>
      <c r="D115" s="4">
        <v>150</v>
      </c>
      <c r="E115" s="8">
        <v>130</v>
      </c>
      <c r="F115" s="4">
        <f t="shared" si="62"/>
        <v>1490</v>
      </c>
      <c r="G115">
        <v>1290</v>
      </c>
      <c r="H115" s="4">
        <v>10</v>
      </c>
      <c r="I115" s="8">
        <v>85</v>
      </c>
      <c r="J115" s="4">
        <v>10</v>
      </c>
      <c r="K115" s="8">
        <v>85</v>
      </c>
      <c r="L115" s="4">
        <v>457</v>
      </c>
      <c r="M115">
        <f t="shared" si="39"/>
        <v>447</v>
      </c>
      <c r="N115" s="4">
        <v>2</v>
      </c>
      <c r="O115" s="4">
        <v>12</v>
      </c>
      <c r="P115" s="21">
        <f t="shared" si="40"/>
        <v>226.1946710584651</v>
      </c>
      <c r="Q115" s="29">
        <f t="shared" si="56"/>
        <v>2.0470105978141639E-2</v>
      </c>
      <c r="R115" s="21">
        <v>530</v>
      </c>
      <c r="S115" s="41">
        <f t="shared" si="57"/>
        <v>3.5153846153846153</v>
      </c>
      <c r="T115" s="41">
        <f t="shared" si="58"/>
        <v>3.4384615384615387</v>
      </c>
      <c r="U115" s="57">
        <v>9.5500000000000007</v>
      </c>
      <c r="V115">
        <f>0.85*57.4</f>
        <v>48.79</v>
      </c>
      <c r="W115" s="8" t="s">
        <v>457</v>
      </c>
      <c r="X115" s="7">
        <f t="shared" si="42"/>
        <v>0.75</v>
      </c>
      <c r="Y115">
        <f t="shared" si="63"/>
        <v>39.9</v>
      </c>
      <c r="Z115" s="8">
        <v>1</v>
      </c>
      <c r="AA115" s="8">
        <v>0.3</v>
      </c>
      <c r="AB115" s="66">
        <v>133</v>
      </c>
      <c r="AC115" s="8">
        <v>2000</v>
      </c>
      <c r="AD115" s="7">
        <f t="shared" si="44"/>
        <v>0.99750000000000005</v>
      </c>
      <c r="AE115" s="21">
        <f t="shared" si="66"/>
        <v>32818.5</v>
      </c>
      <c r="AF115" s="66">
        <f t="shared" si="64"/>
        <v>65.637</v>
      </c>
      <c r="AG115" s="45">
        <v>2.97</v>
      </c>
      <c r="AH115" s="45">
        <f t="shared" si="45"/>
        <v>0.42519783081162499</v>
      </c>
      <c r="AI115" s="45">
        <f t="shared" si="46"/>
        <v>0.81279216765034423</v>
      </c>
      <c r="AJ115" s="21">
        <f t="shared" si="61"/>
        <v>32.8185</v>
      </c>
      <c r="AK115" s="21">
        <f t="shared" si="47"/>
        <v>0.31874999999999998</v>
      </c>
      <c r="AL115" s="21">
        <f t="shared" si="65"/>
        <v>0.20559374999999999</v>
      </c>
      <c r="AM115" s="21">
        <f t="shared" si="59"/>
        <v>33.024093749999999</v>
      </c>
      <c r="AN115" s="41">
        <f t="shared" si="48"/>
        <v>2.988605769230769</v>
      </c>
      <c r="AO115" s="41">
        <f t="shared" si="49"/>
        <v>0.42786151186128984</v>
      </c>
      <c r="AP115" s="41">
        <f t="shared" si="50"/>
        <v>0.81788396007589259</v>
      </c>
      <c r="AQ115" s="21">
        <f t="shared" si="51"/>
        <v>5.9077284374999976E-2</v>
      </c>
      <c r="AR115" s="21">
        <f t="shared" si="52"/>
        <v>14.9980545</v>
      </c>
      <c r="AS115" s="21">
        <f t="shared" si="53"/>
        <v>15.057131784375001</v>
      </c>
      <c r="AT115" s="41">
        <f t="shared" si="54"/>
        <v>3.5072602302383689</v>
      </c>
      <c r="AU115" s="4"/>
    </row>
    <row r="116" spans="1:60" x14ac:dyDescent="0.25">
      <c r="B116" s="4" t="s">
        <v>151</v>
      </c>
      <c r="C116" s="8">
        <v>85</v>
      </c>
      <c r="D116" s="4">
        <v>150</v>
      </c>
      <c r="E116" s="8">
        <v>128</v>
      </c>
      <c r="F116" s="4">
        <f t="shared" si="62"/>
        <v>1360</v>
      </c>
      <c r="G116">
        <v>1160</v>
      </c>
      <c r="H116" s="4">
        <v>10</v>
      </c>
      <c r="I116" s="8">
        <v>85</v>
      </c>
      <c r="J116" s="4">
        <v>10</v>
      </c>
      <c r="K116" s="8">
        <v>85</v>
      </c>
      <c r="L116" s="4">
        <v>392</v>
      </c>
      <c r="M116">
        <f t="shared" si="39"/>
        <v>382</v>
      </c>
      <c r="N116" s="4">
        <v>2</v>
      </c>
      <c r="O116" s="4">
        <v>16</v>
      </c>
      <c r="P116" s="21">
        <f t="shared" si="40"/>
        <v>402.12385965949352</v>
      </c>
      <c r="Q116" s="29">
        <f t="shared" si="56"/>
        <v>3.6959913571644624E-2</v>
      </c>
      <c r="R116" s="21">
        <v>530</v>
      </c>
      <c r="S116" s="41">
        <f t="shared" si="57"/>
        <v>3.0625</v>
      </c>
      <c r="T116" s="41">
        <f t="shared" si="58"/>
        <v>2.984375</v>
      </c>
      <c r="U116" s="57">
        <v>9.5500000000000007</v>
      </c>
      <c r="V116">
        <f>0.85*49</f>
        <v>41.65</v>
      </c>
      <c r="W116" s="8" t="s">
        <v>457</v>
      </c>
      <c r="X116" s="7">
        <f t="shared" si="42"/>
        <v>0.75</v>
      </c>
      <c r="Y116">
        <f t="shared" si="63"/>
        <v>39.9</v>
      </c>
      <c r="Z116" s="8">
        <v>0.5</v>
      </c>
      <c r="AA116" s="8">
        <v>0.3</v>
      </c>
      <c r="AB116" s="66">
        <v>133</v>
      </c>
      <c r="AC116" s="8">
        <v>2000</v>
      </c>
      <c r="AD116" s="7">
        <f t="shared" si="44"/>
        <v>0.49875000000000003</v>
      </c>
      <c r="AE116" s="21">
        <f t="shared" si="66"/>
        <v>32204.799999999999</v>
      </c>
      <c r="AF116" s="66">
        <f t="shared" si="64"/>
        <v>64.409599999999998</v>
      </c>
      <c r="AG116" s="45">
        <v>2.96</v>
      </c>
      <c r="AH116" s="45">
        <f t="shared" si="45"/>
        <v>0.45865296795944449</v>
      </c>
      <c r="AI116" s="45">
        <f t="shared" si="46"/>
        <v>0.85392561755526752</v>
      </c>
      <c r="AJ116" s="21">
        <f t="shared" si="61"/>
        <v>32.204799999999999</v>
      </c>
      <c r="AK116" s="21">
        <f t="shared" si="47"/>
        <v>0.31874999999999998</v>
      </c>
      <c r="AL116" s="21">
        <f t="shared" si="65"/>
        <v>0.18487499999999996</v>
      </c>
      <c r="AM116" s="21">
        <f t="shared" si="59"/>
        <v>32.389674999999997</v>
      </c>
      <c r="AN116" s="41">
        <f t="shared" si="48"/>
        <v>2.9769921874999996</v>
      </c>
      <c r="AO116" s="41">
        <f t="shared" si="49"/>
        <v>0.46128591296924121</v>
      </c>
      <c r="AP116" s="41">
        <f t="shared" si="50"/>
        <v>0.85882766627302154</v>
      </c>
      <c r="AQ116" s="21">
        <f t="shared" si="51"/>
        <v>4.6387049999999999E-2</v>
      </c>
      <c r="AR116" s="21">
        <f t="shared" si="52"/>
        <v>12.6242816</v>
      </c>
      <c r="AS116" s="21">
        <f t="shared" si="53"/>
        <v>12.67066865</v>
      </c>
      <c r="AT116" s="41">
        <f t="shared" si="54"/>
        <v>3.0562084623610764</v>
      </c>
      <c r="AU116" s="4"/>
    </row>
    <row r="117" spans="1:60" x14ac:dyDescent="0.25">
      <c r="B117" s="4" t="s">
        <v>152</v>
      </c>
      <c r="C117" s="8">
        <v>85</v>
      </c>
      <c r="D117" s="4">
        <v>150</v>
      </c>
      <c r="E117" s="8">
        <v>126</v>
      </c>
      <c r="F117" s="4">
        <f t="shared" si="62"/>
        <v>1360</v>
      </c>
      <c r="G117">
        <v>1160</v>
      </c>
      <c r="H117" s="4">
        <v>10</v>
      </c>
      <c r="I117" s="8">
        <v>85</v>
      </c>
      <c r="J117" s="4">
        <v>10</v>
      </c>
      <c r="K117" s="8">
        <v>85</v>
      </c>
      <c r="L117" s="4">
        <v>392</v>
      </c>
      <c r="M117">
        <f t="shared" si="39"/>
        <v>382</v>
      </c>
      <c r="N117" s="4">
        <v>2</v>
      </c>
      <c r="O117" s="4">
        <v>19.75</v>
      </c>
      <c r="P117" s="21">
        <f t="shared" si="40"/>
        <v>612.70874222043437</v>
      </c>
      <c r="Q117" s="29">
        <f t="shared" si="56"/>
        <v>5.7209032887062035E-2</v>
      </c>
      <c r="R117" s="21">
        <v>530</v>
      </c>
      <c r="S117" s="41">
        <f t="shared" si="57"/>
        <v>3.1111111111111112</v>
      </c>
      <c r="T117" s="41">
        <f t="shared" si="58"/>
        <v>3.0317460317460316</v>
      </c>
      <c r="U117" s="57">
        <v>9.5500000000000007</v>
      </c>
      <c r="V117">
        <f>0.85*49</f>
        <v>41.65</v>
      </c>
      <c r="W117" s="8" t="s">
        <v>457</v>
      </c>
      <c r="X117" s="7">
        <f t="shared" si="42"/>
        <v>0.75</v>
      </c>
      <c r="Y117">
        <f t="shared" si="63"/>
        <v>39.9</v>
      </c>
      <c r="Z117" s="8">
        <v>0.5</v>
      </c>
      <c r="AA117" s="8">
        <v>0.3</v>
      </c>
      <c r="AB117" s="66">
        <v>133</v>
      </c>
      <c r="AC117" s="8">
        <v>2000</v>
      </c>
      <c r="AD117" s="7">
        <f t="shared" si="44"/>
        <v>0.49875000000000003</v>
      </c>
      <c r="AE117" s="21">
        <f t="shared" si="66"/>
        <v>38020.5</v>
      </c>
      <c r="AF117" s="66">
        <f t="shared" si="64"/>
        <v>76.040999999999997</v>
      </c>
      <c r="AG117" s="45">
        <v>3.55</v>
      </c>
      <c r="AH117" s="45">
        <f t="shared" si="45"/>
        <v>0.55007366089730669</v>
      </c>
      <c r="AI117" s="45">
        <f t="shared" si="46"/>
        <v>1.0241337642977026</v>
      </c>
      <c r="AJ117" s="21">
        <f t="shared" si="61"/>
        <v>38.020499999999998</v>
      </c>
      <c r="AK117" s="21">
        <f t="shared" si="47"/>
        <v>0.31874999999999998</v>
      </c>
      <c r="AL117" s="21">
        <f t="shared" si="65"/>
        <v>0.18487499999999996</v>
      </c>
      <c r="AM117" s="21">
        <f t="shared" si="59"/>
        <v>38.205374999999997</v>
      </c>
      <c r="AN117" s="41">
        <f t="shared" si="48"/>
        <v>3.5672619047619047</v>
      </c>
      <c r="AO117" s="41">
        <f t="shared" si="49"/>
        <v>0.55274839868503678</v>
      </c>
      <c r="AP117" s="41">
        <f t="shared" si="50"/>
        <v>1.029113623312564</v>
      </c>
      <c r="AQ117" s="21">
        <f t="shared" si="51"/>
        <v>4.6387049999999999E-2</v>
      </c>
      <c r="AR117" s="21">
        <f t="shared" si="52"/>
        <v>14.904036</v>
      </c>
      <c r="AS117" s="21">
        <f t="shared" si="53"/>
        <v>14.950423049999999</v>
      </c>
      <c r="AT117" s="41">
        <f t="shared" si="54"/>
        <v>3.1056926202262432</v>
      </c>
      <c r="AU117" s="4"/>
    </row>
    <row r="118" spans="1:60" x14ac:dyDescent="0.25">
      <c r="B118" s="4" t="s">
        <v>153</v>
      </c>
      <c r="C118" s="8">
        <v>85</v>
      </c>
      <c r="D118" s="4">
        <v>150</v>
      </c>
      <c r="E118" s="8">
        <v>128</v>
      </c>
      <c r="F118" s="4">
        <f t="shared" si="62"/>
        <v>1360</v>
      </c>
      <c r="G118">
        <v>1160</v>
      </c>
      <c r="H118" s="4">
        <v>10</v>
      </c>
      <c r="I118" s="8">
        <v>85</v>
      </c>
      <c r="J118" s="4">
        <v>10</v>
      </c>
      <c r="K118" s="8">
        <v>85</v>
      </c>
      <c r="L118" s="4">
        <v>392</v>
      </c>
      <c r="M118">
        <f t="shared" si="39"/>
        <v>382</v>
      </c>
      <c r="N118" s="4">
        <v>2</v>
      </c>
      <c r="O118" s="4">
        <v>16</v>
      </c>
      <c r="P118" s="21">
        <f t="shared" si="40"/>
        <v>402.12385965949352</v>
      </c>
      <c r="Q118" s="29">
        <f t="shared" si="56"/>
        <v>3.6959913571644624E-2</v>
      </c>
      <c r="R118" s="21">
        <v>530</v>
      </c>
      <c r="S118" s="41">
        <f t="shared" si="57"/>
        <v>3.0625</v>
      </c>
      <c r="T118" s="41">
        <f t="shared" si="58"/>
        <v>2.984375</v>
      </c>
      <c r="U118" s="57">
        <v>9.5500000000000007</v>
      </c>
      <c r="V118">
        <f>0.85*36</f>
        <v>30.599999999999998</v>
      </c>
      <c r="W118" s="8" t="s">
        <v>457</v>
      </c>
      <c r="X118" s="7">
        <f t="shared" si="42"/>
        <v>0.75</v>
      </c>
      <c r="Y118">
        <f t="shared" si="63"/>
        <v>39.9</v>
      </c>
      <c r="Z118" s="8">
        <v>0.5</v>
      </c>
      <c r="AA118" s="8">
        <v>0.3</v>
      </c>
      <c r="AB118" s="66">
        <v>133</v>
      </c>
      <c r="AC118" s="8">
        <v>2000</v>
      </c>
      <c r="AD118" s="7">
        <f t="shared" si="44"/>
        <v>0.49875000000000003</v>
      </c>
      <c r="AE118" s="21">
        <f t="shared" si="66"/>
        <v>24371.200000000001</v>
      </c>
      <c r="AF118" s="66">
        <f t="shared" si="64"/>
        <v>48.742400000000004</v>
      </c>
      <c r="AG118" s="45">
        <v>2.2400000000000002</v>
      </c>
      <c r="AH118" s="45">
        <f t="shared" si="45"/>
        <v>0.40493685459482492</v>
      </c>
      <c r="AI118" s="45">
        <f t="shared" si="46"/>
        <v>0.71615584832232193</v>
      </c>
      <c r="AJ118" s="21">
        <f t="shared" si="61"/>
        <v>24.371200000000002</v>
      </c>
      <c r="AK118" s="21">
        <f t="shared" si="47"/>
        <v>0.31874999999999998</v>
      </c>
      <c r="AL118" s="21">
        <f t="shared" si="65"/>
        <v>0.18487499999999996</v>
      </c>
      <c r="AM118" s="21">
        <f t="shared" si="59"/>
        <v>24.556075000000003</v>
      </c>
      <c r="AN118" s="41">
        <f t="shared" si="48"/>
        <v>2.2569921875000003</v>
      </c>
      <c r="AO118" s="41">
        <f t="shared" si="49"/>
        <v>0.40800862377292113</v>
      </c>
      <c r="AP118" s="41">
        <f t="shared" si="50"/>
        <v>0.72158846191781945</v>
      </c>
      <c r="AQ118" s="21">
        <f t="shared" si="51"/>
        <v>4.6387049999999999E-2</v>
      </c>
      <c r="AR118" s="21">
        <f t="shared" si="52"/>
        <v>9.5535104000000004</v>
      </c>
      <c r="AS118" s="21">
        <f t="shared" si="53"/>
        <v>9.5998974500000003</v>
      </c>
      <c r="AT118" s="41">
        <f t="shared" si="54"/>
        <v>3.0542014075183022</v>
      </c>
      <c r="AU118" s="4"/>
    </row>
    <row r="119" spans="1:60" x14ac:dyDescent="0.25">
      <c r="B119" s="4" t="s">
        <v>154</v>
      </c>
      <c r="C119" s="8">
        <v>85</v>
      </c>
      <c r="D119" s="4">
        <v>150</v>
      </c>
      <c r="E119" s="8">
        <v>126</v>
      </c>
      <c r="F119" s="4">
        <f t="shared" si="62"/>
        <v>1360</v>
      </c>
      <c r="G119">
        <v>1160</v>
      </c>
      <c r="H119" s="4">
        <v>10</v>
      </c>
      <c r="I119" s="8">
        <v>85</v>
      </c>
      <c r="J119" s="4">
        <v>10</v>
      </c>
      <c r="K119" s="8">
        <v>85</v>
      </c>
      <c r="L119" s="4">
        <v>392</v>
      </c>
      <c r="M119">
        <f t="shared" si="39"/>
        <v>382</v>
      </c>
      <c r="N119" s="4">
        <v>2</v>
      </c>
      <c r="O119" s="4">
        <v>19.75</v>
      </c>
      <c r="P119" s="21">
        <f t="shared" si="40"/>
        <v>612.70874222043437</v>
      </c>
      <c r="Q119" s="29">
        <f t="shared" si="56"/>
        <v>5.7209032887062035E-2</v>
      </c>
      <c r="R119" s="21">
        <v>530</v>
      </c>
      <c r="S119" s="41">
        <f t="shared" si="57"/>
        <v>3.1111111111111112</v>
      </c>
      <c r="T119" s="41">
        <f t="shared" si="58"/>
        <v>3.0317460317460316</v>
      </c>
      <c r="U119" s="57">
        <v>9.5500000000000007</v>
      </c>
      <c r="V119">
        <f>0.85*36</f>
        <v>30.599999999999998</v>
      </c>
      <c r="W119" s="8" t="s">
        <v>457</v>
      </c>
      <c r="X119" s="7">
        <f t="shared" si="42"/>
        <v>0.75</v>
      </c>
      <c r="Y119">
        <f t="shared" si="63"/>
        <v>39.9</v>
      </c>
      <c r="Z119" s="8">
        <v>0.5</v>
      </c>
      <c r="AA119" s="8">
        <v>0.3</v>
      </c>
      <c r="AB119" s="66">
        <v>133</v>
      </c>
      <c r="AC119" s="8">
        <v>2000</v>
      </c>
      <c r="AD119" s="7">
        <f t="shared" si="44"/>
        <v>0.49875000000000003</v>
      </c>
      <c r="AE119" s="21">
        <f t="shared" si="66"/>
        <v>24954.300000000003</v>
      </c>
      <c r="AF119" s="66">
        <f t="shared" si="64"/>
        <v>49.908600000000007</v>
      </c>
      <c r="AG119" s="45">
        <v>2.33</v>
      </c>
      <c r="AH119" s="45">
        <f t="shared" si="45"/>
        <v>0.42120663893122412</v>
      </c>
      <c r="AI119" s="45">
        <f t="shared" si="46"/>
        <v>0.74492996722812943</v>
      </c>
      <c r="AJ119" s="21">
        <f t="shared" si="61"/>
        <v>24.954300000000003</v>
      </c>
      <c r="AK119" s="21">
        <f t="shared" si="47"/>
        <v>0.31874999999999998</v>
      </c>
      <c r="AL119" s="21">
        <f t="shared" si="65"/>
        <v>0.18487499999999996</v>
      </c>
      <c r="AM119" s="21">
        <f t="shared" si="59"/>
        <v>25.139175000000005</v>
      </c>
      <c r="AN119" s="41">
        <f t="shared" si="48"/>
        <v>2.3472619047619054</v>
      </c>
      <c r="AO119" s="41">
        <f t="shared" si="49"/>
        <v>0.42432716635024259</v>
      </c>
      <c r="AP119" s="41">
        <f t="shared" si="50"/>
        <v>0.7504488127854605</v>
      </c>
      <c r="AQ119" s="21">
        <f t="shared" si="51"/>
        <v>4.6387049999999999E-2</v>
      </c>
      <c r="AR119" s="21">
        <f t="shared" si="52"/>
        <v>9.782085600000002</v>
      </c>
      <c r="AS119" s="21">
        <f t="shared" si="53"/>
        <v>9.8284726500000019</v>
      </c>
      <c r="AT119" s="41">
        <f t="shared" si="54"/>
        <v>3.1028763350617585</v>
      </c>
      <c r="AU119" s="4"/>
    </row>
    <row r="120" spans="1:60" x14ac:dyDescent="0.25">
      <c r="B120" s="4" t="s">
        <v>155</v>
      </c>
      <c r="C120" s="8">
        <v>85</v>
      </c>
      <c r="D120" s="4">
        <v>150</v>
      </c>
      <c r="E120" s="8">
        <v>128</v>
      </c>
      <c r="F120" s="4">
        <f t="shared" si="62"/>
        <v>1360</v>
      </c>
      <c r="G120">
        <v>1160</v>
      </c>
      <c r="H120" s="4">
        <v>10</v>
      </c>
      <c r="I120" s="8">
        <v>85</v>
      </c>
      <c r="J120" s="4">
        <v>10</v>
      </c>
      <c r="K120" s="8">
        <v>85</v>
      </c>
      <c r="L120" s="4">
        <v>392</v>
      </c>
      <c r="M120">
        <f t="shared" si="39"/>
        <v>382</v>
      </c>
      <c r="N120" s="4">
        <v>2</v>
      </c>
      <c r="O120" s="4">
        <v>16</v>
      </c>
      <c r="P120" s="21">
        <f t="shared" si="40"/>
        <v>402.12385965949352</v>
      </c>
      <c r="Q120" s="29">
        <f t="shared" si="56"/>
        <v>3.6959913571644624E-2</v>
      </c>
      <c r="R120" s="21">
        <v>530</v>
      </c>
      <c r="S120" s="41">
        <f t="shared" si="57"/>
        <v>3.0625</v>
      </c>
      <c r="T120" s="41">
        <f t="shared" si="58"/>
        <v>2.984375</v>
      </c>
      <c r="U120" s="57">
        <v>9.5500000000000007</v>
      </c>
      <c r="V120">
        <f>0.85*57.4</f>
        <v>48.79</v>
      </c>
      <c r="W120" s="8" t="s">
        <v>457</v>
      </c>
      <c r="X120" s="7">
        <f t="shared" si="42"/>
        <v>0.75</v>
      </c>
      <c r="Y120">
        <f t="shared" si="63"/>
        <v>39.9</v>
      </c>
      <c r="Z120" s="8">
        <v>1</v>
      </c>
      <c r="AA120" s="8">
        <v>0.3</v>
      </c>
      <c r="AB120" s="66">
        <v>133</v>
      </c>
      <c r="AC120" s="8">
        <v>2000</v>
      </c>
      <c r="AD120" s="7">
        <f t="shared" si="44"/>
        <v>0.99750000000000005</v>
      </c>
      <c r="AE120" s="21">
        <f t="shared" si="66"/>
        <v>47545.599999999999</v>
      </c>
      <c r="AF120" s="66">
        <f t="shared" si="64"/>
        <v>95.091200000000001</v>
      </c>
      <c r="AG120" s="45">
        <v>4.37</v>
      </c>
      <c r="AH120" s="45">
        <f t="shared" si="45"/>
        <v>0.62562778472956271</v>
      </c>
      <c r="AI120" s="45">
        <f t="shared" si="46"/>
        <v>1.1959265227717186</v>
      </c>
      <c r="AJ120" s="21">
        <f t="shared" si="61"/>
        <v>47.5456</v>
      </c>
      <c r="AK120" s="21">
        <f t="shared" si="47"/>
        <v>0.31874999999999998</v>
      </c>
      <c r="AL120" s="21">
        <f t="shared" si="65"/>
        <v>0.18487499999999996</v>
      </c>
      <c r="AM120" s="21">
        <f t="shared" si="59"/>
        <v>47.730474999999998</v>
      </c>
      <c r="AN120" s="41">
        <f t="shared" si="48"/>
        <v>4.3869921874999998</v>
      </c>
      <c r="AO120" s="41">
        <f t="shared" si="49"/>
        <v>0.62806045855641257</v>
      </c>
      <c r="AP120" s="41">
        <f t="shared" si="50"/>
        <v>1.2005767304859427</v>
      </c>
      <c r="AQ120" s="21">
        <f t="shared" si="51"/>
        <v>4.6387049999999999E-2</v>
      </c>
      <c r="AR120" s="21">
        <f t="shared" si="52"/>
        <v>18.6378752</v>
      </c>
      <c r="AS120" s="21">
        <f t="shared" si="53"/>
        <v>18.68426225</v>
      </c>
      <c r="AT120" s="41">
        <f t="shared" si="54"/>
        <v>3.0582305922605002</v>
      </c>
      <c r="AU120" s="4"/>
    </row>
    <row r="121" spans="1:60" x14ac:dyDescent="0.25">
      <c r="B121" s="4" t="s">
        <v>156</v>
      </c>
      <c r="C121" s="8">
        <v>85</v>
      </c>
      <c r="D121" s="4">
        <v>150</v>
      </c>
      <c r="E121" s="8">
        <v>126</v>
      </c>
      <c r="F121" s="4">
        <f t="shared" si="62"/>
        <v>1360</v>
      </c>
      <c r="G121">
        <v>1160</v>
      </c>
      <c r="H121" s="4">
        <v>10</v>
      </c>
      <c r="I121" s="8">
        <v>85</v>
      </c>
      <c r="J121" s="4">
        <v>10</v>
      </c>
      <c r="K121" s="8">
        <v>85</v>
      </c>
      <c r="L121" s="4">
        <v>392</v>
      </c>
      <c r="M121">
        <f t="shared" si="39"/>
        <v>382</v>
      </c>
      <c r="N121" s="4">
        <v>2</v>
      </c>
      <c r="O121" s="4">
        <v>19.75</v>
      </c>
      <c r="P121" s="21">
        <f t="shared" si="40"/>
        <v>612.70874222043437</v>
      </c>
      <c r="Q121" s="29">
        <f t="shared" si="56"/>
        <v>5.7209032887062035E-2</v>
      </c>
      <c r="R121" s="21">
        <v>530</v>
      </c>
      <c r="S121" s="41">
        <f t="shared" si="57"/>
        <v>3.1111111111111112</v>
      </c>
      <c r="T121" s="41">
        <f t="shared" si="58"/>
        <v>3.0317460317460316</v>
      </c>
      <c r="U121" s="57">
        <v>9.5500000000000007</v>
      </c>
      <c r="V121">
        <f>0.85*57.4</f>
        <v>48.79</v>
      </c>
      <c r="W121" s="8" t="s">
        <v>457</v>
      </c>
      <c r="X121" s="7">
        <f t="shared" si="42"/>
        <v>0.75</v>
      </c>
      <c r="Y121">
        <f t="shared" si="63"/>
        <v>39.9</v>
      </c>
      <c r="Z121" s="8">
        <v>1</v>
      </c>
      <c r="AA121" s="8">
        <v>0.3</v>
      </c>
      <c r="AB121" s="66">
        <v>133</v>
      </c>
      <c r="AC121" s="8">
        <v>2000</v>
      </c>
      <c r="AD121" s="7">
        <f t="shared" si="44"/>
        <v>0.99750000000000005</v>
      </c>
      <c r="AE121" s="21">
        <f t="shared" si="66"/>
        <v>53550</v>
      </c>
      <c r="AF121" s="66">
        <f t="shared" si="64"/>
        <v>107.1</v>
      </c>
      <c r="AG121" s="45">
        <v>5</v>
      </c>
      <c r="AH121" s="45">
        <f t="shared" si="45"/>
        <v>0.71582126399263457</v>
      </c>
      <c r="AI121" s="45">
        <f t="shared" si="46"/>
        <v>1.368336982576337</v>
      </c>
      <c r="AJ121" s="21">
        <f t="shared" si="61"/>
        <v>53.55</v>
      </c>
      <c r="AK121" s="21">
        <f t="shared" si="47"/>
        <v>0.31874999999999998</v>
      </c>
      <c r="AL121" s="21">
        <f t="shared" si="65"/>
        <v>0.18487499999999996</v>
      </c>
      <c r="AM121" s="21">
        <f t="shared" si="59"/>
        <v>53.734874999999995</v>
      </c>
      <c r="AN121" s="41">
        <f t="shared" si="48"/>
        <v>5.017261904761904</v>
      </c>
      <c r="AO121" s="41">
        <f t="shared" si="49"/>
        <v>0.71829255168975192</v>
      </c>
      <c r="AP121" s="41">
        <f t="shared" si="50"/>
        <v>1.3730610031114219</v>
      </c>
      <c r="AQ121" s="21">
        <f t="shared" si="51"/>
        <v>4.6387049999999999E-2</v>
      </c>
      <c r="AR121" s="21">
        <f t="shared" si="52"/>
        <v>20.991599999999998</v>
      </c>
      <c r="AS121" s="21">
        <f t="shared" si="53"/>
        <v>21.037987049999998</v>
      </c>
      <c r="AT121" s="41">
        <f t="shared" si="54"/>
        <v>3.1072585763059131</v>
      </c>
      <c r="AU121" s="4"/>
    </row>
    <row r="122" spans="1:60" x14ac:dyDescent="0.25">
      <c r="B122" s="4" t="s">
        <v>157</v>
      </c>
      <c r="C122" s="8">
        <v>85</v>
      </c>
      <c r="D122" s="4">
        <v>150</v>
      </c>
      <c r="E122" s="8">
        <v>126</v>
      </c>
      <c r="F122" s="4">
        <f t="shared" si="62"/>
        <v>1360</v>
      </c>
      <c r="G122">
        <v>1160</v>
      </c>
      <c r="H122" s="4">
        <v>10</v>
      </c>
      <c r="I122" s="8">
        <v>85</v>
      </c>
      <c r="J122" s="4">
        <v>10</v>
      </c>
      <c r="K122" s="8">
        <v>85</v>
      </c>
      <c r="L122" s="4">
        <v>392</v>
      </c>
      <c r="M122">
        <f t="shared" si="39"/>
        <v>382</v>
      </c>
      <c r="N122" s="4">
        <v>2</v>
      </c>
      <c r="O122" s="4">
        <v>19.75</v>
      </c>
      <c r="P122" s="21">
        <f t="shared" si="40"/>
        <v>612.70874222043437</v>
      </c>
      <c r="Q122" s="29">
        <f t="shared" si="56"/>
        <v>5.7209032887062035E-2</v>
      </c>
      <c r="R122" s="21">
        <v>530</v>
      </c>
      <c r="S122" s="41">
        <f t="shared" si="57"/>
        <v>3.1111111111111112</v>
      </c>
      <c r="T122" s="41">
        <f t="shared" si="58"/>
        <v>3.0317460317460316</v>
      </c>
      <c r="U122" s="57">
        <v>9.5500000000000007</v>
      </c>
      <c r="V122">
        <f>0.85*63</f>
        <v>53.55</v>
      </c>
      <c r="W122" s="8" t="s">
        <v>457</v>
      </c>
      <c r="X122" s="7">
        <f t="shared" si="42"/>
        <v>0.75</v>
      </c>
      <c r="Y122">
        <f t="shared" si="63"/>
        <v>30</v>
      </c>
      <c r="Z122" s="8">
        <v>1.5</v>
      </c>
      <c r="AA122" s="8">
        <v>0.3</v>
      </c>
      <c r="AB122" s="66">
        <v>100</v>
      </c>
      <c r="AC122" s="8">
        <v>2000</v>
      </c>
      <c r="AD122" s="7">
        <f t="shared" si="44"/>
        <v>1.125</v>
      </c>
      <c r="AE122" s="21">
        <f t="shared" si="66"/>
        <v>51943.499999999993</v>
      </c>
      <c r="AF122" s="66">
        <f t="shared" si="64"/>
        <v>103.88699999999999</v>
      </c>
      <c r="AG122" s="45">
        <v>4.8499999999999996</v>
      </c>
      <c r="AH122" s="45">
        <f t="shared" si="45"/>
        <v>0.66276871653338676</v>
      </c>
      <c r="AI122" s="45">
        <f t="shared" si="46"/>
        <v>1.2867334178892307</v>
      </c>
      <c r="AJ122" s="21">
        <f t="shared" si="61"/>
        <v>51.943499999999993</v>
      </c>
      <c r="AK122" s="21">
        <f t="shared" si="47"/>
        <v>0.31874999999999998</v>
      </c>
      <c r="AL122" s="21">
        <f t="shared" si="65"/>
        <v>0.18487499999999996</v>
      </c>
      <c r="AM122" s="21">
        <f t="shared" si="59"/>
        <v>52.128374999999991</v>
      </c>
      <c r="AN122" s="41">
        <f t="shared" si="48"/>
        <v>4.8672619047619037</v>
      </c>
      <c r="AO122" s="41">
        <f t="shared" si="49"/>
        <v>0.66512761353626682</v>
      </c>
      <c r="AP122" s="41">
        <f t="shared" si="50"/>
        <v>1.2913131023662541</v>
      </c>
      <c r="AQ122" s="21">
        <f t="shared" si="51"/>
        <v>4.6387049999999999E-2</v>
      </c>
      <c r="AR122" s="21">
        <f t="shared" si="52"/>
        <v>20.361851999999999</v>
      </c>
      <c r="AS122" s="21">
        <f t="shared" si="53"/>
        <v>20.408239049999999</v>
      </c>
      <c r="AT122" s="41">
        <f t="shared" si="54"/>
        <v>3.1071398483163191</v>
      </c>
      <c r="AU122" s="4"/>
    </row>
    <row r="123" spans="1:60" x14ac:dyDescent="0.25">
      <c r="B123" s="4" t="s">
        <v>158</v>
      </c>
      <c r="C123" s="8">
        <v>85</v>
      </c>
      <c r="D123" s="4">
        <v>150</v>
      </c>
      <c r="E123" s="8">
        <v>126</v>
      </c>
      <c r="F123" s="4">
        <f t="shared" si="62"/>
        <v>1360</v>
      </c>
      <c r="G123">
        <v>1160</v>
      </c>
      <c r="H123" s="4">
        <v>10</v>
      </c>
      <c r="I123" s="8">
        <v>85</v>
      </c>
      <c r="J123" s="4">
        <v>10</v>
      </c>
      <c r="K123" s="8">
        <v>85</v>
      </c>
      <c r="L123" s="4">
        <v>392</v>
      </c>
      <c r="M123">
        <f t="shared" si="39"/>
        <v>382</v>
      </c>
      <c r="N123" s="4">
        <v>2</v>
      </c>
      <c r="O123" s="4">
        <v>19.75</v>
      </c>
      <c r="P123" s="21">
        <f t="shared" si="40"/>
        <v>612.70874222043437</v>
      </c>
      <c r="Q123" s="29">
        <f t="shared" si="56"/>
        <v>5.7209032887062035E-2</v>
      </c>
      <c r="R123" s="21">
        <v>530</v>
      </c>
      <c r="S123" s="41">
        <f t="shared" si="57"/>
        <v>3.1111111111111112</v>
      </c>
      <c r="T123" s="41">
        <f t="shared" si="58"/>
        <v>3.0317460317460316</v>
      </c>
      <c r="U123" s="57">
        <v>9.5500000000000007</v>
      </c>
      <c r="V123">
        <f>0.85*50.8</f>
        <v>43.18</v>
      </c>
      <c r="W123" s="8" t="s">
        <v>457</v>
      </c>
      <c r="X123" s="7">
        <f t="shared" si="42"/>
        <v>0.75</v>
      </c>
      <c r="Y123">
        <f t="shared" si="63"/>
        <v>30</v>
      </c>
      <c r="Z123" s="8">
        <v>2</v>
      </c>
      <c r="AA123" s="8">
        <v>0.3</v>
      </c>
      <c r="AB123" s="66">
        <v>100</v>
      </c>
      <c r="AC123" s="8">
        <v>2000</v>
      </c>
      <c r="AD123" s="7">
        <f t="shared" si="44"/>
        <v>1.5</v>
      </c>
      <c r="AE123" s="21">
        <f t="shared" si="66"/>
        <v>52800.299999999996</v>
      </c>
      <c r="AF123" s="66">
        <f t="shared" si="64"/>
        <v>105.60059999999999</v>
      </c>
      <c r="AG123" s="45">
        <v>4.93</v>
      </c>
      <c r="AH123" s="45">
        <f t="shared" si="45"/>
        <v>0.75024930239756404</v>
      </c>
      <c r="AI123" s="45">
        <f t="shared" si="46"/>
        <v>1.4052471287853565</v>
      </c>
      <c r="AJ123" s="21">
        <f t="shared" si="61"/>
        <v>52.800299999999993</v>
      </c>
      <c r="AK123" s="21">
        <f t="shared" si="47"/>
        <v>0.31874999999999998</v>
      </c>
      <c r="AL123" s="21">
        <f t="shared" si="65"/>
        <v>0.18487499999999996</v>
      </c>
      <c r="AM123" s="21">
        <f t="shared" si="59"/>
        <v>52.985174999999991</v>
      </c>
      <c r="AN123" s="41">
        <f t="shared" si="48"/>
        <v>4.9472619047619038</v>
      </c>
      <c r="AO123" s="41">
        <f t="shared" si="49"/>
        <v>0.75287622572528645</v>
      </c>
      <c r="AP123" s="41">
        <f t="shared" si="50"/>
        <v>1.4101674618693387</v>
      </c>
      <c r="AQ123" s="21">
        <f t="shared" si="51"/>
        <v>4.6387049999999999E-2</v>
      </c>
      <c r="AR123" s="21">
        <f t="shared" si="52"/>
        <v>20.697717599999997</v>
      </c>
      <c r="AS123" s="21">
        <f t="shared" si="53"/>
        <v>20.744104649999997</v>
      </c>
      <c r="AT123" s="41">
        <f t="shared" si="54"/>
        <v>3.1072040658632565</v>
      </c>
      <c r="AU123" s="4"/>
    </row>
    <row r="124" spans="1:60" x14ac:dyDescent="0.25">
      <c r="B124" s="4" t="s">
        <v>159</v>
      </c>
      <c r="C124" s="8">
        <v>85</v>
      </c>
      <c r="D124" s="4">
        <v>150</v>
      </c>
      <c r="E124" s="8">
        <v>128</v>
      </c>
      <c r="F124" s="4">
        <f t="shared" si="62"/>
        <v>1360</v>
      </c>
      <c r="G124">
        <v>1160</v>
      </c>
      <c r="H124" s="4">
        <v>10</v>
      </c>
      <c r="I124" s="8">
        <v>85</v>
      </c>
      <c r="J124" s="4">
        <v>10</v>
      </c>
      <c r="K124" s="8">
        <v>85</v>
      </c>
      <c r="L124" s="4">
        <v>392</v>
      </c>
      <c r="M124">
        <f t="shared" si="39"/>
        <v>382</v>
      </c>
      <c r="N124" s="4">
        <v>2</v>
      </c>
      <c r="O124" s="4">
        <v>16</v>
      </c>
      <c r="P124" s="21">
        <f t="shared" si="40"/>
        <v>402.12385965949352</v>
      </c>
      <c r="Q124" s="29">
        <f t="shared" si="56"/>
        <v>3.6959913571644624E-2</v>
      </c>
      <c r="R124" s="21">
        <v>530</v>
      </c>
      <c r="S124" s="41">
        <f t="shared" si="57"/>
        <v>3.0625</v>
      </c>
      <c r="T124" s="41">
        <f t="shared" si="58"/>
        <v>2.984375</v>
      </c>
      <c r="U124" s="57">
        <v>9.5500000000000007</v>
      </c>
      <c r="V124">
        <f>0.85*63</f>
        <v>53.55</v>
      </c>
      <c r="W124" s="8" t="s">
        <v>457</v>
      </c>
      <c r="X124" s="7">
        <f t="shared" si="42"/>
        <v>0.75</v>
      </c>
      <c r="Y124">
        <f t="shared" si="63"/>
        <v>30</v>
      </c>
      <c r="Z124" s="8">
        <v>1.5</v>
      </c>
      <c r="AA124" s="8">
        <v>0.3</v>
      </c>
      <c r="AB124" s="66">
        <v>100</v>
      </c>
      <c r="AC124" s="8">
        <v>2000</v>
      </c>
      <c r="AD124" s="7">
        <f t="shared" si="44"/>
        <v>1.125</v>
      </c>
      <c r="AE124" s="21">
        <f t="shared" si="66"/>
        <v>48524.800000000003</v>
      </c>
      <c r="AF124" s="66">
        <f t="shared" si="64"/>
        <v>97.049600000000012</v>
      </c>
      <c r="AG124" s="45">
        <v>4.46</v>
      </c>
      <c r="AH124" s="45">
        <f t="shared" si="45"/>
        <v>0.60947391252348559</v>
      </c>
      <c r="AI124" s="45">
        <f t="shared" si="46"/>
        <v>1.1832641327393751</v>
      </c>
      <c r="AJ124" s="21">
        <f t="shared" si="61"/>
        <v>48.524800000000006</v>
      </c>
      <c r="AK124" s="21">
        <f t="shared" si="47"/>
        <v>0.31874999999999998</v>
      </c>
      <c r="AL124" s="21">
        <f t="shared" si="65"/>
        <v>0.18487499999999996</v>
      </c>
      <c r="AM124" s="21">
        <f t="shared" si="59"/>
        <v>48.709675000000004</v>
      </c>
      <c r="AN124" s="41">
        <f t="shared" si="48"/>
        <v>4.4769921875000005</v>
      </c>
      <c r="AO124" s="41">
        <f t="shared" si="49"/>
        <v>0.6117959517606959</v>
      </c>
      <c r="AP124" s="41">
        <f t="shared" si="50"/>
        <v>1.1877722596464453</v>
      </c>
      <c r="AQ124" s="21">
        <f t="shared" si="51"/>
        <v>4.6387049999999999E-2</v>
      </c>
      <c r="AR124" s="21">
        <f t="shared" si="52"/>
        <v>19.021721599999999</v>
      </c>
      <c r="AS124" s="21">
        <f t="shared" si="53"/>
        <v>19.068108649999999</v>
      </c>
      <c r="AT124" s="41">
        <f t="shared" si="54"/>
        <v>3.0583164192355006</v>
      </c>
      <c r="AU124" s="4"/>
    </row>
    <row r="125" spans="1:60" x14ac:dyDescent="0.25">
      <c r="B125" s="4" t="s">
        <v>160</v>
      </c>
      <c r="C125" s="8">
        <v>85</v>
      </c>
      <c r="D125" s="4">
        <v>150</v>
      </c>
      <c r="E125" s="8">
        <v>126</v>
      </c>
      <c r="F125" s="4">
        <f t="shared" si="62"/>
        <v>1100</v>
      </c>
      <c r="G125">
        <v>900</v>
      </c>
      <c r="H125" s="4">
        <v>10</v>
      </c>
      <c r="I125" s="8">
        <v>85</v>
      </c>
      <c r="J125" s="4">
        <v>10</v>
      </c>
      <c r="K125" s="8">
        <v>85</v>
      </c>
      <c r="L125" s="4">
        <v>262</v>
      </c>
      <c r="M125">
        <f t="shared" si="39"/>
        <v>252</v>
      </c>
      <c r="N125" s="4">
        <v>2</v>
      </c>
      <c r="O125" s="4">
        <v>19.75</v>
      </c>
      <c r="P125" s="21">
        <f t="shared" si="40"/>
        <v>612.70874222043437</v>
      </c>
      <c r="Q125" s="29">
        <f t="shared" si="56"/>
        <v>5.7209032887062035E-2</v>
      </c>
      <c r="R125" s="21">
        <v>530</v>
      </c>
      <c r="S125" s="41">
        <f t="shared" si="57"/>
        <v>2.0793650793650795</v>
      </c>
      <c r="T125" s="41">
        <f t="shared" si="58"/>
        <v>2</v>
      </c>
      <c r="U125" s="57">
        <v>9.5500000000000007</v>
      </c>
      <c r="V125">
        <f>0.85*59</f>
        <v>50.15</v>
      </c>
      <c r="W125" s="8" t="s">
        <v>457</v>
      </c>
      <c r="X125" s="7">
        <f t="shared" si="42"/>
        <v>0.75</v>
      </c>
      <c r="Y125">
        <f t="shared" si="63"/>
        <v>30</v>
      </c>
      <c r="Z125" s="8">
        <v>0.5</v>
      </c>
      <c r="AA125" s="8">
        <v>0.3</v>
      </c>
      <c r="AB125" s="66">
        <v>100</v>
      </c>
      <c r="AC125" s="8">
        <v>2000</v>
      </c>
      <c r="AD125" s="7">
        <f t="shared" si="44"/>
        <v>0.375</v>
      </c>
      <c r="AE125" s="21">
        <f t="shared" si="66"/>
        <v>58476.600000000006</v>
      </c>
      <c r="AF125" s="66">
        <f t="shared" si="64"/>
        <v>116.95320000000001</v>
      </c>
      <c r="AG125" s="45">
        <v>5.46</v>
      </c>
      <c r="AH125" s="45">
        <f t="shared" si="45"/>
        <v>0.77100496369211935</v>
      </c>
      <c r="AI125" s="45">
        <f t="shared" si="46"/>
        <v>1.4805929038871053</v>
      </c>
      <c r="AJ125" s="21">
        <f t="shared" si="61"/>
        <v>58.476600000000005</v>
      </c>
      <c r="AK125" s="21">
        <f t="shared" si="47"/>
        <v>0.31874999999999998</v>
      </c>
      <c r="AL125" s="21">
        <f t="shared" si="65"/>
        <v>0.1434375</v>
      </c>
      <c r="AM125" s="21">
        <f t="shared" si="59"/>
        <v>58.620037500000002</v>
      </c>
      <c r="AN125" s="41">
        <f t="shared" si="48"/>
        <v>5.4733928571428576</v>
      </c>
      <c r="AO125" s="41">
        <f t="shared" si="49"/>
        <v>0.7728961650355558</v>
      </c>
      <c r="AP125" s="41">
        <f t="shared" si="50"/>
        <v>1.4842246564967188</v>
      </c>
      <c r="AQ125" s="21">
        <f t="shared" si="51"/>
        <v>2.5046737500000006E-2</v>
      </c>
      <c r="AR125" s="21">
        <f t="shared" si="52"/>
        <v>15.320869200000001</v>
      </c>
      <c r="AS125" s="21">
        <f t="shared" si="53"/>
        <v>15.345915937500001</v>
      </c>
      <c r="AT125" s="41">
        <f t="shared" si="54"/>
        <v>2.0776681289388867</v>
      </c>
      <c r="AU125" s="4"/>
    </row>
    <row r="126" spans="1:60" x14ac:dyDescent="0.25">
      <c r="B126" s="4" t="s">
        <v>161</v>
      </c>
      <c r="C126" s="8">
        <v>85</v>
      </c>
      <c r="D126" s="4">
        <v>150</v>
      </c>
      <c r="E126" s="8">
        <v>126</v>
      </c>
      <c r="F126" s="4">
        <f t="shared" si="62"/>
        <v>1100</v>
      </c>
      <c r="G126">
        <v>900</v>
      </c>
      <c r="H126" s="4">
        <v>10</v>
      </c>
      <c r="I126" s="8">
        <v>85</v>
      </c>
      <c r="J126" s="4">
        <v>10</v>
      </c>
      <c r="K126" s="8">
        <v>85</v>
      </c>
      <c r="L126" s="4">
        <v>262</v>
      </c>
      <c r="M126">
        <f t="shared" si="39"/>
        <v>252</v>
      </c>
      <c r="N126" s="4">
        <v>2</v>
      </c>
      <c r="O126" s="4">
        <v>19.75</v>
      </c>
      <c r="P126" s="21">
        <f t="shared" si="40"/>
        <v>612.70874222043437</v>
      </c>
      <c r="Q126" s="29">
        <f t="shared" si="56"/>
        <v>5.7209032887062035E-2</v>
      </c>
      <c r="R126" s="21">
        <v>530</v>
      </c>
      <c r="S126" s="41">
        <f t="shared" si="57"/>
        <v>2.0793650793650795</v>
      </c>
      <c r="T126" s="41">
        <f t="shared" si="58"/>
        <v>2</v>
      </c>
      <c r="U126" s="57">
        <v>9.5500000000000007</v>
      </c>
      <c r="V126">
        <f>0.85*54</f>
        <v>45.9</v>
      </c>
      <c r="W126" s="8" t="s">
        <v>457</v>
      </c>
      <c r="X126" s="7">
        <f t="shared" si="42"/>
        <v>0.75</v>
      </c>
      <c r="Y126">
        <f t="shared" si="63"/>
        <v>30</v>
      </c>
      <c r="Z126" s="8">
        <v>1</v>
      </c>
      <c r="AA126" s="8">
        <v>0.3</v>
      </c>
      <c r="AB126" s="66">
        <v>100</v>
      </c>
      <c r="AC126" s="8">
        <v>2000</v>
      </c>
      <c r="AD126" s="7">
        <f t="shared" si="44"/>
        <v>0.75</v>
      </c>
      <c r="AE126" s="21">
        <f t="shared" si="66"/>
        <v>72506.7</v>
      </c>
      <c r="AF126" s="66">
        <f t="shared" si="64"/>
        <v>145.01339999999999</v>
      </c>
      <c r="AG126" s="45">
        <v>6.77</v>
      </c>
      <c r="AH126" s="45">
        <f t="shared" si="45"/>
        <v>0.9992687958510742</v>
      </c>
      <c r="AI126" s="45">
        <f t="shared" si="46"/>
        <v>1.8908240031620487</v>
      </c>
      <c r="AJ126" s="21">
        <f t="shared" si="61"/>
        <v>72.506699999999995</v>
      </c>
      <c r="AK126" s="21">
        <f t="shared" si="47"/>
        <v>0.31874999999999998</v>
      </c>
      <c r="AL126" s="21">
        <f t="shared" si="65"/>
        <v>0.1434375</v>
      </c>
      <c r="AM126" s="21">
        <f t="shared" si="59"/>
        <v>72.6501375</v>
      </c>
      <c r="AN126" s="41">
        <f t="shared" si="48"/>
        <v>6.7833928571428572</v>
      </c>
      <c r="AO126" s="41">
        <f t="shared" si="49"/>
        <v>1.0012456147920119</v>
      </c>
      <c r="AP126" s="41">
        <f t="shared" si="50"/>
        <v>1.8945645549724823</v>
      </c>
      <c r="AQ126" s="21">
        <f t="shared" si="51"/>
        <v>2.5046737500000006E-2</v>
      </c>
      <c r="AR126" s="21">
        <f t="shared" si="52"/>
        <v>18.996755399999998</v>
      </c>
      <c r="AS126" s="21">
        <f t="shared" si="53"/>
        <v>19.021802137499996</v>
      </c>
      <c r="AT126" s="41">
        <f t="shared" si="54"/>
        <v>2.0779958417966151</v>
      </c>
      <c r="AU126" s="4"/>
    </row>
    <row r="127" spans="1:60" x14ac:dyDescent="0.25">
      <c r="B127" s="4" t="s">
        <v>162</v>
      </c>
      <c r="C127" s="8">
        <v>85</v>
      </c>
      <c r="D127" s="4">
        <v>150</v>
      </c>
      <c r="E127" s="8">
        <v>126</v>
      </c>
      <c r="F127" s="4">
        <f t="shared" si="62"/>
        <v>1100</v>
      </c>
      <c r="G127">
        <v>900</v>
      </c>
      <c r="H127" s="4">
        <v>10</v>
      </c>
      <c r="I127" s="8">
        <v>85</v>
      </c>
      <c r="J127" s="4">
        <v>10</v>
      </c>
      <c r="K127" s="8">
        <v>85</v>
      </c>
      <c r="L127" s="4">
        <v>262</v>
      </c>
      <c r="M127">
        <f t="shared" si="39"/>
        <v>252</v>
      </c>
      <c r="N127" s="4">
        <v>2</v>
      </c>
      <c r="O127" s="4">
        <v>19.75</v>
      </c>
      <c r="P127" s="21">
        <f t="shared" si="40"/>
        <v>612.70874222043437</v>
      </c>
      <c r="Q127" s="29">
        <f t="shared" si="56"/>
        <v>5.7209032887062035E-2</v>
      </c>
      <c r="R127" s="21">
        <v>530</v>
      </c>
      <c r="S127" s="41">
        <f t="shared" si="57"/>
        <v>2.0793650793650795</v>
      </c>
      <c r="T127" s="41">
        <f t="shared" si="58"/>
        <v>2</v>
      </c>
      <c r="U127" s="57">
        <v>9.5500000000000007</v>
      </c>
      <c r="V127">
        <f>0.85*63</f>
        <v>53.55</v>
      </c>
      <c r="W127" s="8" t="s">
        <v>457</v>
      </c>
      <c r="X127" s="7">
        <f t="shared" si="42"/>
        <v>0.75</v>
      </c>
      <c r="Y127">
        <f t="shared" si="63"/>
        <v>30</v>
      </c>
      <c r="Z127" s="8">
        <v>1.5</v>
      </c>
      <c r="AA127" s="8">
        <v>0.3</v>
      </c>
      <c r="AB127" s="66">
        <v>100</v>
      </c>
      <c r="AC127" s="8">
        <v>2000</v>
      </c>
      <c r="AD127" s="7">
        <f t="shared" si="44"/>
        <v>1.125</v>
      </c>
      <c r="AE127" s="21">
        <f t="shared" si="66"/>
        <v>76576.5</v>
      </c>
      <c r="AF127" s="66">
        <f t="shared" si="64"/>
        <v>153.15299999999999</v>
      </c>
      <c r="AG127" s="45">
        <v>7.15</v>
      </c>
      <c r="AH127" s="45">
        <f t="shared" si="45"/>
        <v>0.97707140684818883</v>
      </c>
      <c r="AI127" s="45">
        <f t="shared" si="46"/>
        <v>1.8969368944140206</v>
      </c>
      <c r="AJ127" s="21">
        <f t="shared" si="61"/>
        <v>76.576499999999996</v>
      </c>
      <c r="AK127" s="21">
        <f t="shared" si="47"/>
        <v>0.31874999999999998</v>
      </c>
      <c r="AL127" s="21">
        <f t="shared" si="65"/>
        <v>0.1434375</v>
      </c>
      <c r="AM127" s="21">
        <f t="shared" si="59"/>
        <v>76.7199375</v>
      </c>
      <c r="AN127" s="41">
        <f t="shared" si="48"/>
        <v>7.1633928571428571</v>
      </c>
      <c r="AO127" s="41">
        <f t="shared" si="49"/>
        <v>0.97890158555731999</v>
      </c>
      <c r="AP127" s="41">
        <f t="shared" si="50"/>
        <v>1.9004900978875734</v>
      </c>
      <c r="AQ127" s="21">
        <f t="shared" si="51"/>
        <v>2.5046737500000006E-2</v>
      </c>
      <c r="AR127" s="21">
        <f t="shared" si="52"/>
        <v>20.063042999999997</v>
      </c>
      <c r="AS127" s="21">
        <f t="shared" si="53"/>
        <v>20.088089737499995</v>
      </c>
      <c r="AT127" s="41">
        <f t="shared" si="54"/>
        <v>2.078068476410742</v>
      </c>
      <c r="AU127" s="4"/>
    </row>
    <row r="128" spans="1:60" x14ac:dyDescent="0.25">
      <c r="A128" s="1"/>
      <c r="B128" s="10" t="s">
        <v>163</v>
      </c>
      <c r="C128" s="9">
        <v>85</v>
      </c>
      <c r="D128" s="10">
        <v>150</v>
      </c>
      <c r="E128" s="9">
        <v>126</v>
      </c>
      <c r="F128" s="4">
        <f t="shared" si="62"/>
        <v>1100</v>
      </c>
      <c r="G128" s="1">
        <v>900</v>
      </c>
      <c r="H128" s="10">
        <v>10</v>
      </c>
      <c r="I128" s="9">
        <v>85</v>
      </c>
      <c r="J128" s="10">
        <v>10</v>
      </c>
      <c r="K128" s="9">
        <v>85</v>
      </c>
      <c r="L128" s="10">
        <v>262</v>
      </c>
      <c r="M128" s="1">
        <f t="shared" si="39"/>
        <v>252</v>
      </c>
      <c r="N128" s="10">
        <v>2</v>
      </c>
      <c r="O128" s="10">
        <v>19.75</v>
      </c>
      <c r="P128" s="27">
        <f t="shared" si="40"/>
        <v>612.70874222043437</v>
      </c>
      <c r="Q128" s="36">
        <f t="shared" si="56"/>
        <v>5.7209032887062035E-2</v>
      </c>
      <c r="R128" s="27">
        <v>530</v>
      </c>
      <c r="S128" s="48">
        <f t="shared" si="57"/>
        <v>2.0793650793650795</v>
      </c>
      <c r="T128" s="48">
        <f t="shared" si="58"/>
        <v>2</v>
      </c>
      <c r="U128" s="58">
        <v>9.5500000000000007</v>
      </c>
      <c r="V128" s="1">
        <f>0.85*50.8</f>
        <v>43.18</v>
      </c>
      <c r="W128" s="9" t="s">
        <v>457</v>
      </c>
      <c r="X128" s="7">
        <f t="shared" si="42"/>
        <v>0.75</v>
      </c>
      <c r="Y128" s="1">
        <f t="shared" si="63"/>
        <v>30</v>
      </c>
      <c r="Z128" s="9">
        <v>2</v>
      </c>
      <c r="AA128" s="9">
        <v>0.3</v>
      </c>
      <c r="AB128" s="67">
        <v>100</v>
      </c>
      <c r="AC128" s="9">
        <v>2000</v>
      </c>
      <c r="AD128" s="7">
        <f t="shared" si="44"/>
        <v>1.5</v>
      </c>
      <c r="AE128" s="27">
        <f t="shared" si="66"/>
        <v>67473</v>
      </c>
      <c r="AF128" s="67">
        <f t="shared" si="64"/>
        <v>134.946</v>
      </c>
      <c r="AG128" s="46">
        <v>6.3</v>
      </c>
      <c r="AH128" s="45">
        <f t="shared" si="45"/>
        <v>0.9587364310557106</v>
      </c>
      <c r="AI128" s="45">
        <f t="shared" si="46"/>
        <v>1.7957519089954861</v>
      </c>
      <c r="AJ128" s="27">
        <f t="shared" si="61"/>
        <v>67.472999999999999</v>
      </c>
      <c r="AK128" s="21">
        <f t="shared" si="47"/>
        <v>0.31874999999999998</v>
      </c>
      <c r="AL128" s="27">
        <f t="shared" si="65"/>
        <v>0.1434375</v>
      </c>
      <c r="AM128" s="27">
        <f t="shared" si="59"/>
        <v>67.616437500000004</v>
      </c>
      <c r="AN128" s="41">
        <f t="shared" si="48"/>
        <v>6.3133928571428575</v>
      </c>
      <c r="AO128" s="41">
        <f t="shared" si="49"/>
        <v>0.96077456122377136</v>
      </c>
      <c r="AP128" s="41">
        <f t="shared" si="50"/>
        <v>1.7995694088020242</v>
      </c>
      <c r="AQ128" s="21">
        <f t="shared" si="51"/>
        <v>2.5046737500000006E-2</v>
      </c>
      <c r="AR128" s="21">
        <f t="shared" si="52"/>
        <v>17.677925999999999</v>
      </c>
      <c r="AS128" s="21">
        <f t="shared" si="53"/>
        <v>17.702972737499998</v>
      </c>
      <c r="AT128" s="41">
        <f t="shared" si="54"/>
        <v>2.0778939090210478</v>
      </c>
      <c r="AU128" s="10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</row>
    <row r="129" spans="1:60" x14ac:dyDescent="0.25">
      <c r="A129" t="s">
        <v>12</v>
      </c>
      <c r="B129" s="4" t="s">
        <v>164</v>
      </c>
      <c r="C129" s="8">
        <v>150</v>
      </c>
      <c r="D129" s="4">
        <v>250</v>
      </c>
      <c r="E129" s="8">
        <v>219</v>
      </c>
      <c r="F129" s="4">
        <v>2500</v>
      </c>
      <c r="G129" s="4">
        <v>2300</v>
      </c>
      <c r="H129" s="4">
        <v>10</v>
      </c>
      <c r="I129" s="8">
        <v>150</v>
      </c>
      <c r="J129" s="4">
        <v>10</v>
      </c>
      <c r="K129" s="8">
        <v>150</v>
      </c>
      <c r="L129">
        <f>2.8*E129</f>
        <v>613.19999999999993</v>
      </c>
      <c r="M129">
        <f t="shared" si="39"/>
        <v>603.19999999999993</v>
      </c>
      <c r="N129" s="4">
        <v>2</v>
      </c>
      <c r="O129" s="4">
        <v>20</v>
      </c>
      <c r="P129" s="21">
        <f t="shared" si="40"/>
        <v>628.31853071795865</v>
      </c>
      <c r="Q129" s="29">
        <f t="shared" si="56"/>
        <v>1.9126895912266625E-2</v>
      </c>
      <c r="R129" s="21">
        <v>610</v>
      </c>
      <c r="S129" s="41">
        <f t="shared" si="57"/>
        <v>2.8</v>
      </c>
      <c r="T129" s="41">
        <f t="shared" si="58"/>
        <v>2.7543378995433785</v>
      </c>
      <c r="U129" s="57">
        <v>10</v>
      </c>
      <c r="V129">
        <v>40.85</v>
      </c>
      <c r="W129" s="8" t="s">
        <v>456</v>
      </c>
      <c r="X129" s="7">
        <f t="shared" si="42"/>
        <v>1</v>
      </c>
      <c r="Y129">
        <v>30</v>
      </c>
      <c r="Z129" s="8">
        <v>1</v>
      </c>
      <c r="AA129" s="8">
        <v>0.5</v>
      </c>
      <c r="AB129" s="66">
        <v>60</v>
      </c>
      <c r="AC129" s="8">
        <v>1115</v>
      </c>
      <c r="AD129" s="7">
        <f t="shared" si="44"/>
        <v>0.6</v>
      </c>
      <c r="AE129" s="68">
        <f t="shared" si="66"/>
        <v>96381.900000000009</v>
      </c>
      <c r="AF129" s="66">
        <f t="shared" si="64"/>
        <v>192.7638</v>
      </c>
      <c r="AG129" s="45">
        <v>2.9340000000000002</v>
      </c>
      <c r="AH129" s="45">
        <f t="shared" si="45"/>
        <v>0.45905432035114074</v>
      </c>
      <c r="AI129" s="45">
        <f t="shared" si="46"/>
        <v>0.85191465498020935</v>
      </c>
      <c r="AJ129" s="68">
        <f t="shared" si="61"/>
        <v>96.381900000000002</v>
      </c>
      <c r="AK129" s="21">
        <f t="shared" si="47"/>
        <v>0.9375</v>
      </c>
      <c r="AL129" s="68">
        <f t="shared" si="65"/>
        <v>1.078125</v>
      </c>
      <c r="AM129" s="68">
        <f t="shared" si="59"/>
        <v>97.460025000000002</v>
      </c>
      <c r="AN129" s="41">
        <f t="shared" si="48"/>
        <v>2.9668196347031968</v>
      </c>
      <c r="AO129" s="41">
        <f t="shared" si="49"/>
        <v>0.46418928800719</v>
      </c>
      <c r="AP129" s="41">
        <f t="shared" si="50"/>
        <v>0.86144414638264633</v>
      </c>
      <c r="AQ129" s="21">
        <f t="shared" si="51"/>
        <v>0.48016207499999997</v>
      </c>
      <c r="AR129" s="21">
        <f t="shared" si="52"/>
        <v>59.101381079999989</v>
      </c>
      <c r="AS129" s="21">
        <f t="shared" si="53"/>
        <v>59.581543154999991</v>
      </c>
      <c r="AT129" s="41">
        <f t="shared" si="54"/>
        <v>2.7915223794618456</v>
      </c>
      <c r="AU129" s="4"/>
    </row>
    <row r="130" spans="1:60" x14ac:dyDescent="0.25">
      <c r="A130">
        <v>2004</v>
      </c>
      <c r="B130" s="4" t="s">
        <v>165</v>
      </c>
      <c r="C130" s="8">
        <v>150</v>
      </c>
      <c r="D130" s="4">
        <v>250</v>
      </c>
      <c r="E130" s="8">
        <v>219</v>
      </c>
      <c r="F130" s="4">
        <v>2500</v>
      </c>
      <c r="G130" s="4">
        <v>2300</v>
      </c>
      <c r="H130" s="4">
        <v>10</v>
      </c>
      <c r="I130" s="8">
        <v>150</v>
      </c>
      <c r="J130" s="4">
        <v>10</v>
      </c>
      <c r="K130" s="8">
        <v>150</v>
      </c>
      <c r="L130">
        <f>2.8*E130</f>
        <v>613.19999999999993</v>
      </c>
      <c r="M130">
        <f t="shared" si="39"/>
        <v>603.19999999999993</v>
      </c>
      <c r="N130" s="4">
        <v>2</v>
      </c>
      <c r="O130" s="4">
        <v>20</v>
      </c>
      <c r="P130" s="21">
        <f t="shared" si="40"/>
        <v>628.31853071795865</v>
      </c>
      <c r="Q130" s="29">
        <f t="shared" si="56"/>
        <v>1.9126895912266625E-2</v>
      </c>
      <c r="R130" s="21">
        <v>610</v>
      </c>
      <c r="S130" s="41">
        <f t="shared" si="57"/>
        <v>2.8</v>
      </c>
      <c r="T130" s="41">
        <f t="shared" si="58"/>
        <v>2.7543378995433785</v>
      </c>
      <c r="U130" s="57">
        <v>10</v>
      </c>
      <c r="V130">
        <v>40.85</v>
      </c>
      <c r="W130" s="8" t="s">
        <v>456</v>
      </c>
      <c r="X130" s="7">
        <f t="shared" si="42"/>
        <v>1</v>
      </c>
      <c r="Y130">
        <v>30</v>
      </c>
      <c r="Z130" s="8">
        <v>2</v>
      </c>
      <c r="AA130" s="8">
        <v>0.5</v>
      </c>
      <c r="AB130" s="66">
        <v>60</v>
      </c>
      <c r="AC130" s="8">
        <v>1115</v>
      </c>
      <c r="AD130" s="7">
        <f t="shared" si="44"/>
        <v>1.2</v>
      </c>
      <c r="AE130" s="68">
        <f t="shared" si="66"/>
        <v>103313.25</v>
      </c>
      <c r="AF130" s="66">
        <f t="shared" si="64"/>
        <v>206.62649999999999</v>
      </c>
      <c r="AG130" s="45">
        <v>3.145</v>
      </c>
      <c r="AH130" s="45">
        <f t="shared" si="45"/>
        <v>0.49206742927891528</v>
      </c>
      <c r="AI130" s="45">
        <f t="shared" si="46"/>
        <v>0.91318050099276016</v>
      </c>
      <c r="AJ130" s="68">
        <f t="shared" si="61"/>
        <v>103.31325</v>
      </c>
      <c r="AK130" s="21">
        <f t="shared" si="47"/>
        <v>0.9375</v>
      </c>
      <c r="AL130" s="68">
        <f t="shared" si="65"/>
        <v>1.078125</v>
      </c>
      <c r="AM130" s="68">
        <f t="shared" si="59"/>
        <v>104.391375</v>
      </c>
      <c r="AN130" s="41">
        <f t="shared" si="48"/>
        <v>3.1778196347031962</v>
      </c>
      <c r="AO130" s="41">
        <f t="shared" si="49"/>
        <v>0.49720239693496454</v>
      </c>
      <c r="AP130" s="41">
        <f t="shared" si="50"/>
        <v>0.92270999239519702</v>
      </c>
      <c r="AQ130" s="21">
        <f t="shared" si="51"/>
        <v>0.48016207499999997</v>
      </c>
      <c r="AR130" s="21">
        <f t="shared" si="52"/>
        <v>63.351684899999995</v>
      </c>
      <c r="AS130" s="21">
        <f t="shared" si="53"/>
        <v>63.831846974999998</v>
      </c>
      <c r="AT130" s="41">
        <f t="shared" si="54"/>
        <v>2.7920852741944531</v>
      </c>
      <c r="AU130" s="4"/>
    </row>
    <row r="131" spans="1:60" x14ac:dyDescent="0.25">
      <c r="B131" s="4" t="s">
        <v>166</v>
      </c>
      <c r="C131" s="8">
        <v>150</v>
      </c>
      <c r="D131" s="4">
        <v>250</v>
      </c>
      <c r="E131" s="8">
        <v>219</v>
      </c>
      <c r="F131" s="4">
        <v>2500</v>
      </c>
      <c r="G131" s="4">
        <v>2300</v>
      </c>
      <c r="H131" s="4">
        <v>10</v>
      </c>
      <c r="I131" s="8">
        <v>150</v>
      </c>
      <c r="J131" s="4">
        <v>10</v>
      </c>
      <c r="K131" s="8">
        <v>150</v>
      </c>
      <c r="L131">
        <f>2*E131</f>
        <v>438</v>
      </c>
      <c r="M131">
        <f t="shared" si="39"/>
        <v>428</v>
      </c>
      <c r="N131" s="4">
        <v>2</v>
      </c>
      <c r="O131" s="4">
        <v>20</v>
      </c>
      <c r="P131" s="21">
        <f t="shared" si="40"/>
        <v>628.31853071795865</v>
      </c>
      <c r="Q131" s="29">
        <f t="shared" si="56"/>
        <v>1.9126895912266625E-2</v>
      </c>
      <c r="R131" s="21">
        <v>610</v>
      </c>
      <c r="S131" s="41">
        <f t="shared" si="57"/>
        <v>2</v>
      </c>
      <c r="T131" s="41">
        <f t="shared" si="58"/>
        <v>1.9543378995433789</v>
      </c>
      <c r="U131" s="57">
        <v>10</v>
      </c>
      <c r="V131">
        <v>43.23</v>
      </c>
      <c r="W131" s="8" t="s">
        <v>456</v>
      </c>
      <c r="X131" s="7">
        <f t="shared" si="42"/>
        <v>1</v>
      </c>
      <c r="Y131">
        <v>30</v>
      </c>
      <c r="Z131" s="8">
        <v>1</v>
      </c>
      <c r="AA131" s="8">
        <v>0.5</v>
      </c>
      <c r="AB131" s="66">
        <v>60</v>
      </c>
      <c r="AC131" s="8">
        <v>1115</v>
      </c>
      <c r="AD131" s="7">
        <f t="shared" si="44"/>
        <v>0.6</v>
      </c>
      <c r="AE131" s="68">
        <f t="shared" si="66"/>
        <v>115073.55</v>
      </c>
      <c r="AF131" s="66">
        <f t="shared" si="64"/>
        <v>230.14709999999999</v>
      </c>
      <c r="AG131" s="45">
        <v>3.5030000000000001</v>
      </c>
      <c r="AH131" s="45">
        <f t="shared" si="45"/>
        <v>0.53277951670142953</v>
      </c>
      <c r="AI131" s="45">
        <f t="shared" si="46"/>
        <v>0.998109966356162</v>
      </c>
      <c r="AJ131" s="68">
        <f t="shared" si="61"/>
        <v>115.07355</v>
      </c>
      <c r="AK131" s="21">
        <f t="shared" si="47"/>
        <v>0.9375</v>
      </c>
      <c r="AL131" s="68">
        <f t="shared" si="65"/>
        <v>1.078125</v>
      </c>
      <c r="AM131" s="68">
        <f t="shared" si="59"/>
        <v>116.151675</v>
      </c>
      <c r="AN131" s="41">
        <f t="shared" si="48"/>
        <v>3.5358196347031963</v>
      </c>
      <c r="AO131" s="41">
        <f t="shared" si="49"/>
        <v>0.53777113220684958</v>
      </c>
      <c r="AP131" s="41">
        <f t="shared" si="50"/>
        <v>1.0074612665244258</v>
      </c>
      <c r="AQ131" s="21">
        <f t="shared" si="51"/>
        <v>0.37760437499999999</v>
      </c>
      <c r="AR131" s="21">
        <f t="shared" si="52"/>
        <v>50.402214899999997</v>
      </c>
      <c r="AS131" s="21">
        <f t="shared" si="53"/>
        <v>50.779819274999994</v>
      </c>
      <c r="AT131" s="41">
        <f t="shared" si="54"/>
        <v>1.9962804745640641</v>
      </c>
      <c r="AU131" s="4"/>
    </row>
    <row r="132" spans="1:60" x14ac:dyDescent="0.25">
      <c r="A132" s="1"/>
      <c r="B132" s="10" t="s">
        <v>154</v>
      </c>
      <c r="C132" s="9">
        <v>150</v>
      </c>
      <c r="D132" s="10">
        <v>250</v>
      </c>
      <c r="E132" s="9">
        <v>219</v>
      </c>
      <c r="F132" s="10">
        <v>2500</v>
      </c>
      <c r="G132" s="10">
        <v>2300</v>
      </c>
      <c r="H132" s="10">
        <v>10</v>
      </c>
      <c r="I132" s="9">
        <v>150</v>
      </c>
      <c r="J132" s="10">
        <v>10</v>
      </c>
      <c r="K132" s="9">
        <v>150</v>
      </c>
      <c r="L132" s="1">
        <f>2*E132</f>
        <v>438</v>
      </c>
      <c r="M132" s="1">
        <f t="shared" si="39"/>
        <v>428</v>
      </c>
      <c r="N132" s="10">
        <v>2</v>
      </c>
      <c r="O132" s="10">
        <v>20</v>
      </c>
      <c r="P132" s="27">
        <f t="shared" si="40"/>
        <v>628.31853071795865</v>
      </c>
      <c r="Q132" s="36">
        <f t="shared" si="56"/>
        <v>1.9126895912266625E-2</v>
      </c>
      <c r="R132" s="27">
        <v>610</v>
      </c>
      <c r="S132" s="48">
        <f t="shared" si="57"/>
        <v>2</v>
      </c>
      <c r="T132" s="48">
        <f t="shared" si="58"/>
        <v>1.9543378995433789</v>
      </c>
      <c r="U132" s="58">
        <v>10</v>
      </c>
      <c r="V132" s="1">
        <v>43.23</v>
      </c>
      <c r="W132" s="9" t="s">
        <v>456</v>
      </c>
      <c r="X132" s="7">
        <f t="shared" si="42"/>
        <v>1</v>
      </c>
      <c r="Y132" s="1">
        <v>30</v>
      </c>
      <c r="Z132" s="9">
        <v>2</v>
      </c>
      <c r="AA132" s="9">
        <v>0.5</v>
      </c>
      <c r="AB132" s="67">
        <v>60</v>
      </c>
      <c r="AC132" s="9">
        <v>1115</v>
      </c>
      <c r="AD132" s="7">
        <f t="shared" si="44"/>
        <v>1.2</v>
      </c>
      <c r="AE132" s="69">
        <f t="shared" si="66"/>
        <v>115500.59999999999</v>
      </c>
      <c r="AF132" s="67">
        <f t="shared" si="64"/>
        <v>231.00119999999998</v>
      </c>
      <c r="AG132" s="46">
        <v>3.516</v>
      </c>
      <c r="AH132" s="45">
        <f t="shared" si="45"/>
        <v>0.53475671730580254</v>
      </c>
      <c r="AI132" s="45">
        <f t="shared" si="46"/>
        <v>1.0018140570106382</v>
      </c>
      <c r="AJ132" s="69">
        <f t="shared" si="61"/>
        <v>115.50059999999999</v>
      </c>
      <c r="AK132" s="21">
        <f t="shared" si="47"/>
        <v>0.9375</v>
      </c>
      <c r="AL132" s="69">
        <f t="shared" si="65"/>
        <v>1.078125</v>
      </c>
      <c r="AM132" s="69">
        <f t="shared" si="59"/>
        <v>116.57872499999999</v>
      </c>
      <c r="AN132" s="41">
        <f t="shared" si="48"/>
        <v>3.5488196347031962</v>
      </c>
      <c r="AO132" s="41">
        <f t="shared" si="49"/>
        <v>0.53974833281122259</v>
      </c>
      <c r="AP132" s="41">
        <f t="shared" si="50"/>
        <v>1.0111653571789021</v>
      </c>
      <c r="AQ132" s="21">
        <f t="shared" si="51"/>
        <v>0.37760437499999999</v>
      </c>
      <c r="AR132" s="21">
        <f t="shared" si="52"/>
        <v>50.5892628</v>
      </c>
      <c r="AS132" s="21">
        <f t="shared" si="53"/>
        <v>50.966867174999997</v>
      </c>
      <c r="AT132" s="41">
        <f t="shared" si="54"/>
        <v>1.9962940998918195</v>
      </c>
      <c r="AU132" s="10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</row>
    <row r="133" spans="1:60" x14ac:dyDescent="0.25">
      <c r="A133" t="s">
        <v>13</v>
      </c>
      <c r="B133" s="4" t="s">
        <v>167</v>
      </c>
      <c r="C133" s="8">
        <v>125</v>
      </c>
      <c r="D133" s="4">
        <v>250</v>
      </c>
      <c r="E133" s="8">
        <v>212</v>
      </c>
      <c r="F133">
        <f>2*150+400+2*L133</f>
        <v>1548</v>
      </c>
      <c r="G133">
        <f>400+2*L133</f>
        <v>1248</v>
      </c>
      <c r="H133" s="4">
        <v>150</v>
      </c>
      <c r="I133" s="8">
        <v>125</v>
      </c>
      <c r="J133" s="4">
        <v>80</v>
      </c>
      <c r="K133" s="8">
        <v>125</v>
      </c>
      <c r="L133">
        <f>2*E133</f>
        <v>424</v>
      </c>
      <c r="M133">
        <f t="shared" ref="M133:M159" si="67">L133-J133/2-H133/2</f>
        <v>309</v>
      </c>
      <c r="N133" s="4">
        <v>2</v>
      </c>
      <c r="O133" s="4">
        <v>16</v>
      </c>
      <c r="P133" s="21">
        <f t="shared" ref="P133:P204" si="68">N133*PI()*(O133/2)^2</f>
        <v>402.12385965949352</v>
      </c>
      <c r="Q133" s="29">
        <f t="shared" si="56"/>
        <v>1.5174485270169567E-2</v>
      </c>
      <c r="R133" s="21">
        <v>442</v>
      </c>
      <c r="S133" s="41">
        <f t="shared" si="57"/>
        <v>2</v>
      </c>
      <c r="T133" s="41">
        <f t="shared" si="58"/>
        <v>1.4575471698113207</v>
      </c>
      <c r="U133" s="57">
        <v>19</v>
      </c>
      <c r="V133" s="4">
        <v>63.8</v>
      </c>
      <c r="W133" s="8" t="s">
        <v>456</v>
      </c>
      <c r="X133" s="7">
        <f t="shared" ref="X133:X196" si="69">IF(W133="hooked",1,IF(W133="crimped",0.75,IF(W133="straight",0.5,"check")))</f>
        <v>1</v>
      </c>
      <c r="Y133" s="4">
        <v>50</v>
      </c>
      <c r="Z133" s="8">
        <v>0.5</v>
      </c>
      <c r="AA133" s="8">
        <v>0.8</v>
      </c>
      <c r="AB133" s="66">
        <v>62.5</v>
      </c>
      <c r="AC133" s="8">
        <v>1079</v>
      </c>
      <c r="AD133" s="7">
        <f t="shared" ref="AD133:AD196" si="70">AB133*Z133/100*X133</f>
        <v>0.3125</v>
      </c>
      <c r="AE133" s="68">
        <f t="shared" si="66"/>
        <v>134885</v>
      </c>
      <c r="AF133" s="66">
        <f t="shared" si="64"/>
        <v>269.77</v>
      </c>
      <c r="AG133" s="45">
        <v>5.09</v>
      </c>
      <c r="AH133" s="45">
        <f t="shared" ref="AH133:AH196" si="71">AG133/SQRT(V133)</f>
        <v>0.63724647672648094</v>
      </c>
      <c r="AI133" s="45">
        <f t="shared" ref="AI133:AI196" si="72">AG133/(V133^(1/3))</f>
        <v>1.2738282890645796</v>
      </c>
      <c r="AJ133" s="68">
        <f t="shared" si="61"/>
        <v>134.88499999999999</v>
      </c>
      <c r="AK133" s="21">
        <f t="shared" ref="AK133:AK196" si="73">25*C133/1000*D133/1000</f>
        <v>0.78125</v>
      </c>
      <c r="AL133" s="21">
        <f t="shared" si="65"/>
        <v>0.48750000000000004</v>
      </c>
      <c r="AM133" s="21">
        <f t="shared" si="59"/>
        <v>135.3725</v>
      </c>
      <c r="AN133" s="41">
        <f t="shared" ref="AN133:AN196" si="74">AM133*1000/(C133*E133)</f>
        <v>5.1083962264150946</v>
      </c>
      <c r="AO133" s="41">
        <f t="shared" ref="AO133:AO196" si="75">AN133/SQRT(V133)</f>
        <v>0.6395496064844538</v>
      </c>
      <c r="AP133" s="41">
        <f t="shared" ref="AP133:AP196" si="76">AN133/(V133^(1/3))</f>
        <v>1.2784321463572288</v>
      </c>
      <c r="AQ133" s="21">
        <f t="shared" ref="AQ133:AQ196" si="77">-AK133/2*((F133-G133)/2000+L133/1000)^2+1/2*AK133*F133/1000*L133/1000</f>
        <v>0.12768593750000007</v>
      </c>
      <c r="AR133" s="21">
        <f t="shared" ref="AR133:AR196" si="78">AJ133*L133/1000</f>
        <v>57.191240000000001</v>
      </c>
      <c r="AS133" s="21">
        <f t="shared" ref="AS133:AS196" si="79">AQ133+AR133</f>
        <v>57.318925937499998</v>
      </c>
      <c r="AT133" s="41">
        <f t="shared" ref="AT133:AT196" si="80">AS133/(AM133*E133/1000)</f>
        <v>1.9972467979687074</v>
      </c>
      <c r="AU133" s="4"/>
    </row>
    <row r="134" spans="1:60" x14ac:dyDescent="0.25">
      <c r="A134">
        <v>2002</v>
      </c>
      <c r="B134" s="4" t="s">
        <v>168</v>
      </c>
      <c r="C134" s="8">
        <v>125</v>
      </c>
      <c r="D134" s="4">
        <v>250</v>
      </c>
      <c r="E134" s="8">
        <v>212</v>
      </c>
      <c r="F134">
        <f>2*150+400+2*L134</f>
        <v>1548</v>
      </c>
      <c r="G134">
        <f>400+2*L134</f>
        <v>1248</v>
      </c>
      <c r="H134" s="4">
        <v>150</v>
      </c>
      <c r="I134" s="8">
        <v>125</v>
      </c>
      <c r="J134" s="4">
        <v>80</v>
      </c>
      <c r="K134" s="8">
        <v>125</v>
      </c>
      <c r="L134">
        <f>2*E134</f>
        <v>424</v>
      </c>
      <c r="M134">
        <f t="shared" si="67"/>
        <v>309</v>
      </c>
      <c r="N134" s="4">
        <v>2</v>
      </c>
      <c r="O134" s="4">
        <v>16</v>
      </c>
      <c r="P134" s="21">
        <f t="shared" si="68"/>
        <v>402.12385965949352</v>
      </c>
      <c r="Q134" s="29">
        <f t="shared" si="56"/>
        <v>1.5174485270169567E-2</v>
      </c>
      <c r="R134" s="21">
        <v>442</v>
      </c>
      <c r="S134" s="41">
        <f t="shared" si="57"/>
        <v>2</v>
      </c>
      <c r="T134" s="41">
        <f t="shared" si="58"/>
        <v>1.4575471698113207</v>
      </c>
      <c r="U134" s="57">
        <v>19</v>
      </c>
      <c r="V134" s="4">
        <v>68.599999999999994</v>
      </c>
      <c r="W134" s="8" t="s">
        <v>456</v>
      </c>
      <c r="X134" s="7">
        <f t="shared" si="69"/>
        <v>1</v>
      </c>
      <c r="Y134" s="4">
        <v>50</v>
      </c>
      <c r="Z134" s="8">
        <v>0.75</v>
      </c>
      <c r="AA134" s="8">
        <v>0.8</v>
      </c>
      <c r="AB134" s="66">
        <v>62.5</v>
      </c>
      <c r="AC134" s="8">
        <v>1079</v>
      </c>
      <c r="AD134" s="7">
        <f t="shared" si="70"/>
        <v>0.46875</v>
      </c>
      <c r="AE134" s="68">
        <f t="shared" si="66"/>
        <v>144160</v>
      </c>
      <c r="AF134" s="66">
        <f t="shared" si="64"/>
        <v>288.32</v>
      </c>
      <c r="AG134" s="45">
        <v>5.44</v>
      </c>
      <c r="AH134" s="45">
        <f t="shared" si="71"/>
        <v>0.65680559224616153</v>
      </c>
      <c r="AI134" s="45">
        <f t="shared" si="72"/>
        <v>1.3288955928458901</v>
      </c>
      <c r="AJ134" s="68">
        <f t="shared" si="61"/>
        <v>144.16</v>
      </c>
      <c r="AK134" s="21">
        <f t="shared" si="73"/>
        <v>0.78125</v>
      </c>
      <c r="AL134" s="21">
        <f t="shared" si="65"/>
        <v>0.48750000000000004</v>
      </c>
      <c r="AM134" s="21">
        <f t="shared" si="59"/>
        <v>144.64750000000001</v>
      </c>
      <c r="AN134" s="41">
        <f t="shared" si="74"/>
        <v>5.4583962264150943</v>
      </c>
      <c r="AO134" s="41">
        <f t="shared" si="75"/>
        <v>0.65902668496411376</v>
      </c>
      <c r="AP134" s="41">
        <f t="shared" si="76"/>
        <v>1.3333894649429514</v>
      </c>
      <c r="AQ134" s="21">
        <f t="shared" si="77"/>
        <v>0.12768593750000007</v>
      </c>
      <c r="AR134" s="21">
        <f t="shared" si="78"/>
        <v>61.123839999999994</v>
      </c>
      <c r="AS134" s="21">
        <f t="shared" si="79"/>
        <v>61.251525937499991</v>
      </c>
      <c r="AT134" s="41">
        <f t="shared" si="80"/>
        <v>1.9974233371335062</v>
      </c>
      <c r="AU134" s="4"/>
    </row>
    <row r="135" spans="1:60" x14ac:dyDescent="0.25">
      <c r="B135" s="4" t="s">
        <v>169</v>
      </c>
      <c r="C135" s="8">
        <v>125</v>
      </c>
      <c r="D135" s="4">
        <v>250</v>
      </c>
      <c r="E135" s="8">
        <v>212</v>
      </c>
      <c r="F135">
        <f>2*150+400+2*L135</f>
        <v>1548</v>
      </c>
      <c r="G135">
        <f>400+2*L135</f>
        <v>1248</v>
      </c>
      <c r="H135" s="4">
        <v>150</v>
      </c>
      <c r="I135" s="8">
        <v>125</v>
      </c>
      <c r="J135" s="4">
        <v>80</v>
      </c>
      <c r="K135" s="8">
        <v>125</v>
      </c>
      <c r="L135">
        <f>2*E135</f>
        <v>424</v>
      </c>
      <c r="M135">
        <f t="shared" si="67"/>
        <v>309</v>
      </c>
      <c r="N135" s="4">
        <v>2</v>
      </c>
      <c r="O135" s="4">
        <v>16</v>
      </c>
      <c r="P135" s="21">
        <f t="shared" si="68"/>
        <v>402.12385965949352</v>
      </c>
      <c r="Q135" s="29">
        <f t="shared" si="56"/>
        <v>1.5174485270169567E-2</v>
      </c>
      <c r="R135" s="21">
        <v>442</v>
      </c>
      <c r="S135" s="41">
        <f t="shared" si="57"/>
        <v>2</v>
      </c>
      <c r="T135" s="41">
        <f t="shared" si="58"/>
        <v>1.4575471698113207</v>
      </c>
      <c r="U135" s="57">
        <v>19</v>
      </c>
      <c r="V135" s="4">
        <v>30.8</v>
      </c>
      <c r="W135" s="8" t="s">
        <v>456</v>
      </c>
      <c r="X135" s="7">
        <f t="shared" si="69"/>
        <v>1</v>
      </c>
      <c r="Y135" s="4">
        <v>50</v>
      </c>
      <c r="Z135" s="8">
        <v>0.5</v>
      </c>
      <c r="AA135" s="8">
        <v>0.8</v>
      </c>
      <c r="AB135" s="66">
        <v>62.5</v>
      </c>
      <c r="AC135" s="8">
        <v>1079</v>
      </c>
      <c r="AD135" s="7">
        <f t="shared" si="70"/>
        <v>0.3125</v>
      </c>
      <c r="AE135" s="68">
        <f t="shared" si="66"/>
        <v>107060</v>
      </c>
      <c r="AF135" s="66">
        <f t="shared" si="64"/>
        <v>214.12</v>
      </c>
      <c r="AG135" s="45">
        <v>4.04</v>
      </c>
      <c r="AH135" s="45">
        <f t="shared" si="71"/>
        <v>0.72795746985801157</v>
      </c>
      <c r="AI135" s="45">
        <f t="shared" si="72"/>
        <v>1.2888363993611205</v>
      </c>
      <c r="AJ135" s="68">
        <f t="shared" si="61"/>
        <v>107.06</v>
      </c>
      <c r="AK135" s="21">
        <f t="shared" si="73"/>
        <v>0.78125</v>
      </c>
      <c r="AL135" s="21">
        <f t="shared" si="65"/>
        <v>0.48750000000000004</v>
      </c>
      <c r="AM135" s="21">
        <f t="shared" si="59"/>
        <v>107.5475</v>
      </c>
      <c r="AN135" s="41">
        <f t="shared" si="74"/>
        <v>4.0583962264150939</v>
      </c>
      <c r="AO135" s="41">
        <f t="shared" si="75"/>
        <v>0.7312722397679291</v>
      </c>
      <c r="AP135" s="41">
        <f t="shared" si="76"/>
        <v>1.2947051434736605</v>
      </c>
      <c r="AQ135" s="21">
        <f t="shared" si="77"/>
        <v>0.12768593750000007</v>
      </c>
      <c r="AR135" s="21">
        <f t="shared" si="78"/>
        <v>45.393440000000005</v>
      </c>
      <c r="AS135" s="21">
        <f t="shared" si="79"/>
        <v>45.521125937500003</v>
      </c>
      <c r="AT135" s="41">
        <f t="shared" si="80"/>
        <v>1.9965344815827322</v>
      </c>
      <c r="AU135" s="4"/>
    </row>
    <row r="136" spans="1:60" x14ac:dyDescent="0.25">
      <c r="A136" s="1"/>
      <c r="B136" s="10" t="s">
        <v>170</v>
      </c>
      <c r="C136" s="9">
        <v>125</v>
      </c>
      <c r="D136" s="10">
        <v>250</v>
      </c>
      <c r="E136" s="9">
        <v>212</v>
      </c>
      <c r="F136" s="1">
        <f>2*150+400+2*L136</f>
        <v>1972</v>
      </c>
      <c r="G136" s="1">
        <f>400+2*L136</f>
        <v>1672</v>
      </c>
      <c r="H136" s="10">
        <v>150</v>
      </c>
      <c r="I136" s="9">
        <v>125</v>
      </c>
      <c r="J136" s="10">
        <v>80</v>
      </c>
      <c r="K136" s="9">
        <v>125</v>
      </c>
      <c r="L136" s="1">
        <f>3*E136</f>
        <v>636</v>
      </c>
      <c r="M136" s="1">
        <f t="shared" si="67"/>
        <v>521</v>
      </c>
      <c r="N136" s="10">
        <v>2</v>
      </c>
      <c r="O136" s="10">
        <v>16</v>
      </c>
      <c r="P136" s="27">
        <f t="shared" si="68"/>
        <v>402.12385965949352</v>
      </c>
      <c r="Q136" s="36">
        <f t="shared" si="56"/>
        <v>1.5174485270169567E-2</v>
      </c>
      <c r="R136" s="27">
        <v>442</v>
      </c>
      <c r="S136" s="48">
        <f t="shared" si="57"/>
        <v>3</v>
      </c>
      <c r="T136" s="48">
        <f t="shared" si="58"/>
        <v>2.4575471698113209</v>
      </c>
      <c r="U136" s="58">
        <v>19</v>
      </c>
      <c r="V136" s="10">
        <v>30.8</v>
      </c>
      <c r="W136" s="9" t="s">
        <v>456</v>
      </c>
      <c r="X136" s="7">
        <f t="shared" si="69"/>
        <v>1</v>
      </c>
      <c r="Y136" s="10">
        <v>50</v>
      </c>
      <c r="Z136" s="9">
        <v>0.5</v>
      </c>
      <c r="AA136" s="9">
        <v>0.8</v>
      </c>
      <c r="AB136" s="67">
        <v>62.5</v>
      </c>
      <c r="AC136" s="9">
        <v>1079</v>
      </c>
      <c r="AD136" s="7">
        <f t="shared" si="70"/>
        <v>0.3125</v>
      </c>
      <c r="AE136" s="69">
        <f t="shared" si="66"/>
        <v>67575</v>
      </c>
      <c r="AF136" s="67">
        <f t="shared" si="64"/>
        <v>135.15</v>
      </c>
      <c r="AG136" s="46">
        <v>2.5499999999999998</v>
      </c>
      <c r="AH136" s="45">
        <f t="shared" si="71"/>
        <v>0.45947810597473504</v>
      </c>
      <c r="AI136" s="45">
        <f t="shared" si="72"/>
        <v>0.81349822236902403</v>
      </c>
      <c r="AJ136" s="69">
        <f t="shared" si="61"/>
        <v>67.575000000000003</v>
      </c>
      <c r="AK136" s="21">
        <f t="shared" si="73"/>
        <v>0.78125</v>
      </c>
      <c r="AL136" s="27">
        <f t="shared" si="65"/>
        <v>0.65312499999999996</v>
      </c>
      <c r="AM136" s="27">
        <f t="shared" si="59"/>
        <v>68.228125000000006</v>
      </c>
      <c r="AN136" s="41">
        <f t="shared" si="74"/>
        <v>2.5746462264150942</v>
      </c>
      <c r="AO136" s="41">
        <f t="shared" si="75"/>
        <v>0.46391904771302211</v>
      </c>
      <c r="AP136" s="41">
        <f t="shared" si="76"/>
        <v>0.82136083467364507</v>
      </c>
      <c r="AQ136" s="21">
        <f t="shared" si="77"/>
        <v>0.24859218750000001</v>
      </c>
      <c r="AR136" s="21">
        <f t="shared" si="78"/>
        <v>42.977700000000006</v>
      </c>
      <c r="AS136" s="21">
        <f t="shared" si="79"/>
        <v>43.226292187500007</v>
      </c>
      <c r="AT136" s="41">
        <f t="shared" si="80"/>
        <v>2.9884685334386498</v>
      </c>
      <c r="AU136" s="10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</row>
    <row r="137" spans="1:60" x14ac:dyDescent="0.25">
      <c r="A137" t="s">
        <v>14</v>
      </c>
      <c r="B137" s="4" t="s">
        <v>171</v>
      </c>
      <c r="C137" s="8">
        <v>100</v>
      </c>
      <c r="D137" s="4">
        <v>180</v>
      </c>
      <c r="E137" s="8">
        <v>130</v>
      </c>
      <c r="F137" s="4">
        <v>1700</v>
      </c>
      <c r="G137" s="4">
        <v>1300</v>
      </c>
      <c r="H137" s="4">
        <v>10</v>
      </c>
      <c r="I137" s="8">
        <v>100</v>
      </c>
      <c r="J137" s="4">
        <v>10</v>
      </c>
      <c r="K137" s="8">
        <v>100</v>
      </c>
      <c r="L137" s="4">
        <v>400</v>
      </c>
      <c r="M137">
        <f t="shared" si="67"/>
        <v>390</v>
      </c>
      <c r="N137" s="4">
        <v>2</v>
      </c>
      <c r="O137" s="4">
        <v>16</v>
      </c>
      <c r="P137" s="21">
        <f t="shared" si="68"/>
        <v>402.12385965949352</v>
      </c>
      <c r="Q137" s="29">
        <f t="shared" si="56"/>
        <v>3.0932604589191809E-2</v>
      </c>
      <c r="R137" s="21">
        <v>420</v>
      </c>
      <c r="S137" s="49">
        <f t="shared" si="57"/>
        <v>3.0769230769230771</v>
      </c>
      <c r="T137" s="41">
        <f t="shared" si="58"/>
        <v>3</v>
      </c>
      <c r="U137" s="57">
        <v>10</v>
      </c>
      <c r="V137" s="4">
        <v>38.69</v>
      </c>
      <c r="W137" s="8" t="s">
        <v>458</v>
      </c>
      <c r="X137" s="7">
        <v>0.5</v>
      </c>
      <c r="Y137" s="4">
        <v>42</v>
      </c>
      <c r="Z137" s="8">
        <v>1</v>
      </c>
      <c r="AA137" s="8">
        <v>0.7</v>
      </c>
      <c r="AB137" s="66">
        <v>60</v>
      </c>
      <c r="AC137" s="8">
        <v>1303</v>
      </c>
      <c r="AD137" s="7">
        <f t="shared" si="70"/>
        <v>0.3</v>
      </c>
      <c r="AE137" s="68">
        <f t="shared" si="66"/>
        <v>58370</v>
      </c>
      <c r="AF137" s="66">
        <f t="shared" si="64"/>
        <v>116.74</v>
      </c>
      <c r="AG137" s="45">
        <v>4.49</v>
      </c>
      <c r="AH137" s="45">
        <f t="shared" si="71"/>
        <v>0.72185002548438459</v>
      </c>
      <c r="AI137" s="45">
        <f t="shared" si="72"/>
        <v>1.3275373980373519</v>
      </c>
      <c r="AJ137" s="68">
        <f t="shared" si="61"/>
        <v>58.37</v>
      </c>
      <c r="AK137" s="21">
        <f t="shared" si="73"/>
        <v>0.45</v>
      </c>
      <c r="AL137" s="68">
        <f t="shared" si="65"/>
        <v>0.29250000000000009</v>
      </c>
      <c r="AM137" s="68">
        <f t="shared" si="59"/>
        <v>58.662499999999994</v>
      </c>
      <c r="AN137" s="41">
        <f t="shared" si="74"/>
        <v>4.5124999999999993</v>
      </c>
      <c r="AO137" s="41">
        <f t="shared" si="75"/>
        <v>0.72546731403079845</v>
      </c>
      <c r="AP137" s="41">
        <f t="shared" si="76"/>
        <v>1.3341898682947773</v>
      </c>
      <c r="AQ137" s="21">
        <f t="shared" si="77"/>
        <v>7.1999999999999967E-2</v>
      </c>
      <c r="AR137" s="21">
        <f t="shared" si="78"/>
        <v>23.347999999999999</v>
      </c>
      <c r="AS137" s="21">
        <f t="shared" si="79"/>
        <v>23.419999999999998</v>
      </c>
      <c r="AT137" s="41">
        <f t="shared" si="80"/>
        <v>3.0710223081840384</v>
      </c>
      <c r="AU137" s="4"/>
    </row>
    <row r="138" spans="1:60" x14ac:dyDescent="0.25">
      <c r="A138" s="1">
        <v>1999</v>
      </c>
      <c r="B138" s="10" t="s">
        <v>172</v>
      </c>
      <c r="C138" s="9">
        <v>100</v>
      </c>
      <c r="D138" s="10">
        <v>180</v>
      </c>
      <c r="E138" s="9">
        <v>130</v>
      </c>
      <c r="F138" s="10">
        <v>1700</v>
      </c>
      <c r="G138" s="9">
        <v>1300</v>
      </c>
      <c r="H138" s="10">
        <v>10</v>
      </c>
      <c r="I138" s="9">
        <v>100</v>
      </c>
      <c r="J138" s="10">
        <v>10</v>
      </c>
      <c r="K138" s="9">
        <v>100</v>
      </c>
      <c r="L138" s="10">
        <v>400</v>
      </c>
      <c r="M138" s="1">
        <f t="shared" si="67"/>
        <v>390</v>
      </c>
      <c r="N138" s="10">
        <v>2</v>
      </c>
      <c r="O138" s="10">
        <v>16</v>
      </c>
      <c r="P138" s="27">
        <f t="shared" si="68"/>
        <v>402.12385965949352</v>
      </c>
      <c r="Q138" s="36">
        <f t="shared" si="56"/>
        <v>3.0932604589191809E-2</v>
      </c>
      <c r="R138" s="27">
        <v>420</v>
      </c>
      <c r="S138" s="50">
        <f t="shared" si="57"/>
        <v>3.0769230769230771</v>
      </c>
      <c r="T138" s="48">
        <f t="shared" si="58"/>
        <v>3</v>
      </c>
      <c r="U138" s="58">
        <v>10</v>
      </c>
      <c r="V138" s="10">
        <v>42.4</v>
      </c>
      <c r="W138" s="9" t="s">
        <v>458</v>
      </c>
      <c r="X138" s="7">
        <v>0.5</v>
      </c>
      <c r="Y138" s="10">
        <v>42</v>
      </c>
      <c r="Z138" s="9">
        <v>2</v>
      </c>
      <c r="AA138" s="9">
        <v>0.7</v>
      </c>
      <c r="AB138" s="67">
        <v>60</v>
      </c>
      <c r="AC138" s="9">
        <v>1303</v>
      </c>
      <c r="AD138" s="7">
        <f t="shared" si="70"/>
        <v>0.6</v>
      </c>
      <c r="AE138" s="69">
        <f t="shared" si="66"/>
        <v>74490</v>
      </c>
      <c r="AF138" s="67">
        <f t="shared" si="64"/>
        <v>148.97999999999999</v>
      </c>
      <c r="AG138" s="46">
        <v>5.73</v>
      </c>
      <c r="AH138" s="45">
        <f t="shared" si="71"/>
        <v>0.87997775486463514</v>
      </c>
      <c r="AI138" s="45">
        <f t="shared" si="72"/>
        <v>1.6432337129849983</v>
      </c>
      <c r="AJ138" s="69">
        <f t="shared" si="61"/>
        <v>74.489999999999995</v>
      </c>
      <c r="AK138" s="21">
        <f t="shared" si="73"/>
        <v>0.45</v>
      </c>
      <c r="AL138" s="69">
        <f t="shared" si="65"/>
        <v>0.29250000000000009</v>
      </c>
      <c r="AM138" s="69">
        <f t="shared" si="59"/>
        <v>74.782499999999999</v>
      </c>
      <c r="AN138" s="41">
        <f t="shared" si="74"/>
        <v>5.7525000000000004</v>
      </c>
      <c r="AO138" s="41">
        <f t="shared" si="75"/>
        <v>0.88343316489682611</v>
      </c>
      <c r="AP138" s="41">
        <f t="shared" si="76"/>
        <v>1.6496862013867719</v>
      </c>
      <c r="AQ138" s="21">
        <f t="shared" si="77"/>
        <v>7.1999999999999967E-2</v>
      </c>
      <c r="AR138" s="21">
        <f t="shared" si="78"/>
        <v>29.795999999999996</v>
      </c>
      <c r="AS138" s="21">
        <f t="shared" si="79"/>
        <v>29.867999999999995</v>
      </c>
      <c r="AT138" s="41">
        <f t="shared" si="80"/>
        <v>3.0722942687640304</v>
      </c>
      <c r="AU138" s="10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</row>
    <row r="139" spans="1:60" x14ac:dyDescent="0.25">
      <c r="A139" t="s">
        <v>15</v>
      </c>
      <c r="B139" s="4" t="s">
        <v>173</v>
      </c>
      <c r="C139" s="8">
        <v>152</v>
      </c>
      <c r="D139" s="4">
        <v>455</v>
      </c>
      <c r="E139" s="8">
        <v>381</v>
      </c>
      <c r="F139" s="4">
        <v>2440</v>
      </c>
      <c r="G139" s="8">
        <v>2136</v>
      </c>
      <c r="H139" s="4">
        <v>152</v>
      </c>
      <c r="I139" s="8">
        <v>152</v>
      </c>
      <c r="J139" s="4">
        <v>152</v>
      </c>
      <c r="K139" s="8">
        <v>152</v>
      </c>
      <c r="L139" s="4">
        <v>1310</v>
      </c>
      <c r="M139">
        <f t="shared" si="67"/>
        <v>1158</v>
      </c>
      <c r="N139" s="4">
        <v>4</v>
      </c>
      <c r="O139" s="4">
        <v>19</v>
      </c>
      <c r="P139" s="21">
        <f t="shared" si="68"/>
        <v>1134.1149479459152</v>
      </c>
      <c r="Q139" s="29">
        <f t="shared" si="56"/>
        <v>1.9583418772377317E-2</v>
      </c>
      <c r="R139" s="21">
        <v>496</v>
      </c>
      <c r="S139" s="41">
        <f t="shared" si="57"/>
        <v>3.4383202099737531</v>
      </c>
      <c r="T139" s="41">
        <f t="shared" si="58"/>
        <v>3.0393700787401574</v>
      </c>
      <c r="U139" s="57">
        <v>10</v>
      </c>
      <c r="V139" s="4">
        <v>44.8</v>
      </c>
      <c r="W139" s="8" t="s">
        <v>456</v>
      </c>
      <c r="X139" s="7">
        <f t="shared" si="69"/>
        <v>1</v>
      </c>
      <c r="Y139" s="4">
        <v>30</v>
      </c>
      <c r="Z139" s="8">
        <v>0.75</v>
      </c>
      <c r="AA139" s="8">
        <v>0.54</v>
      </c>
      <c r="AB139" s="66">
        <v>55</v>
      </c>
      <c r="AC139" s="8">
        <v>1100</v>
      </c>
      <c r="AD139" s="7">
        <f t="shared" si="70"/>
        <v>0.41249999999999998</v>
      </c>
      <c r="AE139" s="68">
        <f t="shared" si="66"/>
        <v>170536.51685393258</v>
      </c>
      <c r="AF139" s="66">
        <v>441</v>
      </c>
      <c r="AG139" s="41">
        <f t="shared" ref="AG139:AG202" si="81">AM139/(C139*E139)*1000</f>
        <v>2.9766385007240745</v>
      </c>
      <c r="AH139" s="45">
        <f t="shared" si="71"/>
        <v>0.44472043696395624</v>
      </c>
      <c r="AI139" s="45">
        <f t="shared" si="72"/>
        <v>0.83810820057183055</v>
      </c>
      <c r="AJ139" s="68">
        <f t="shared" ref="AJ139:AJ159" si="82">(G139-L139)/G139*AF139</f>
        <v>170.5365168539326</v>
      </c>
      <c r="AK139" s="21">
        <f t="shared" si="73"/>
        <v>1.7290000000000001</v>
      </c>
      <c r="AL139" s="21">
        <f t="shared" si="65"/>
        <v>1.8465720000000003</v>
      </c>
      <c r="AM139" s="21">
        <f t="shared" si="59"/>
        <v>172.38308885393261</v>
      </c>
      <c r="AN139" s="41">
        <f t="shared" si="74"/>
        <v>2.9766385007240745</v>
      </c>
      <c r="AO139" s="41">
        <f t="shared" si="75"/>
        <v>0.44472043696395624</v>
      </c>
      <c r="AP139" s="41">
        <f t="shared" si="76"/>
        <v>0.83810820057183055</v>
      </c>
      <c r="AQ139" s="21">
        <f t="shared" si="77"/>
        <v>0.91546746200000051</v>
      </c>
      <c r="AR139" s="21">
        <f t="shared" si="78"/>
        <v>223.40283707865171</v>
      </c>
      <c r="AS139" s="21">
        <f t="shared" si="79"/>
        <v>224.31830454065172</v>
      </c>
      <c r="AT139" s="41">
        <f t="shared" si="80"/>
        <v>3.4154275694283536</v>
      </c>
      <c r="AU139" s="4"/>
    </row>
    <row r="140" spans="1:60" x14ac:dyDescent="0.25">
      <c r="A140">
        <v>2010</v>
      </c>
      <c r="B140" s="4" t="s">
        <v>174</v>
      </c>
      <c r="C140" s="8">
        <v>152</v>
      </c>
      <c r="D140" s="4">
        <v>455</v>
      </c>
      <c r="E140" s="8">
        <v>381</v>
      </c>
      <c r="F140" s="4">
        <v>2440</v>
      </c>
      <c r="G140" s="8">
        <v>2136</v>
      </c>
      <c r="H140" s="4">
        <v>152</v>
      </c>
      <c r="I140" s="8">
        <v>152</v>
      </c>
      <c r="J140" s="4">
        <v>152</v>
      </c>
      <c r="K140" s="8">
        <v>152</v>
      </c>
      <c r="L140" s="4">
        <v>1310</v>
      </c>
      <c r="M140">
        <f t="shared" si="67"/>
        <v>1158</v>
      </c>
      <c r="N140" s="4">
        <v>4</v>
      </c>
      <c r="O140" s="4">
        <v>19</v>
      </c>
      <c r="P140" s="21">
        <f t="shared" si="68"/>
        <v>1134.1149479459152</v>
      </c>
      <c r="Q140" s="29">
        <f t="shared" si="56"/>
        <v>1.9583418772377317E-2</v>
      </c>
      <c r="R140" s="21">
        <v>496</v>
      </c>
      <c r="S140" s="41">
        <f t="shared" si="57"/>
        <v>3.4383202099737531</v>
      </c>
      <c r="T140" s="41">
        <f t="shared" si="58"/>
        <v>3.0393700787401574</v>
      </c>
      <c r="U140" s="57">
        <v>10</v>
      </c>
      <c r="V140" s="4">
        <v>44.8</v>
      </c>
      <c r="W140" s="8" t="s">
        <v>456</v>
      </c>
      <c r="X140" s="7">
        <f t="shared" si="69"/>
        <v>1</v>
      </c>
      <c r="Y140" s="4">
        <v>30</v>
      </c>
      <c r="Z140" s="8">
        <v>0.75</v>
      </c>
      <c r="AA140" s="8">
        <v>0.54</v>
      </c>
      <c r="AB140" s="66">
        <v>55</v>
      </c>
      <c r="AC140" s="8">
        <v>1100</v>
      </c>
      <c r="AD140" s="7">
        <f t="shared" si="70"/>
        <v>0.41249999999999998</v>
      </c>
      <c r="AE140" s="68">
        <f t="shared" si="66"/>
        <v>159708.80149812734</v>
      </c>
      <c r="AF140" s="66">
        <v>413</v>
      </c>
      <c r="AG140" s="41">
        <f t="shared" si="81"/>
        <v>2.7896700769810638</v>
      </c>
      <c r="AH140" s="45">
        <f t="shared" si="71"/>
        <v>0.41678668582648098</v>
      </c>
      <c r="AI140" s="45">
        <f t="shared" si="72"/>
        <v>0.78546500283421861</v>
      </c>
      <c r="AJ140" s="68">
        <f t="shared" si="82"/>
        <v>159.70880149812734</v>
      </c>
      <c r="AK140" s="21">
        <f t="shared" si="73"/>
        <v>1.7290000000000001</v>
      </c>
      <c r="AL140" s="21">
        <f t="shared" si="65"/>
        <v>1.8465720000000003</v>
      </c>
      <c r="AM140" s="21">
        <f t="shared" si="59"/>
        <v>161.55537349812735</v>
      </c>
      <c r="AN140" s="41">
        <f t="shared" si="74"/>
        <v>2.7896700769810638</v>
      </c>
      <c r="AO140" s="41">
        <f t="shared" si="75"/>
        <v>0.41678668582648098</v>
      </c>
      <c r="AP140" s="41">
        <f t="shared" si="76"/>
        <v>0.78546500283421861</v>
      </c>
      <c r="AQ140" s="21">
        <f t="shared" si="77"/>
        <v>0.91546746200000051</v>
      </c>
      <c r="AR140" s="21">
        <f t="shared" si="78"/>
        <v>209.21852996254682</v>
      </c>
      <c r="AS140" s="21">
        <f t="shared" si="79"/>
        <v>210.13399742454683</v>
      </c>
      <c r="AT140" s="41">
        <f t="shared" si="80"/>
        <v>3.4138932658010512</v>
      </c>
      <c r="AU140" s="4"/>
    </row>
    <row r="141" spans="1:60" x14ac:dyDescent="0.25">
      <c r="B141" s="4" t="s">
        <v>175</v>
      </c>
      <c r="C141" s="8">
        <v>152</v>
      </c>
      <c r="D141" s="4">
        <v>455</v>
      </c>
      <c r="E141" s="8">
        <v>381</v>
      </c>
      <c r="F141" s="4">
        <v>2440</v>
      </c>
      <c r="G141" s="8">
        <v>2136</v>
      </c>
      <c r="H141" s="4">
        <v>152</v>
      </c>
      <c r="I141" s="8">
        <v>152</v>
      </c>
      <c r="J141" s="4">
        <v>152</v>
      </c>
      <c r="K141" s="8">
        <v>152</v>
      </c>
      <c r="L141" s="4">
        <v>1310</v>
      </c>
      <c r="M141">
        <f t="shared" si="67"/>
        <v>1158</v>
      </c>
      <c r="N141" s="4">
        <v>4</v>
      </c>
      <c r="O141" s="4">
        <v>19</v>
      </c>
      <c r="P141" s="21">
        <f t="shared" si="68"/>
        <v>1134.1149479459152</v>
      </c>
      <c r="Q141" s="29">
        <f t="shared" si="56"/>
        <v>1.9583418772377317E-2</v>
      </c>
      <c r="R141" s="21">
        <v>496</v>
      </c>
      <c r="S141" s="41">
        <f t="shared" si="57"/>
        <v>3.4383202099737531</v>
      </c>
      <c r="T141" s="41">
        <f t="shared" si="58"/>
        <v>3.0393700787401574</v>
      </c>
      <c r="U141" s="57">
        <v>10</v>
      </c>
      <c r="V141" s="4">
        <v>38.1</v>
      </c>
      <c r="W141" s="8" t="s">
        <v>456</v>
      </c>
      <c r="X141" s="7">
        <f t="shared" si="69"/>
        <v>1</v>
      </c>
      <c r="Y141" s="4">
        <v>30</v>
      </c>
      <c r="Z141" s="8">
        <v>1</v>
      </c>
      <c r="AA141" s="8">
        <v>0.54</v>
      </c>
      <c r="AB141" s="66">
        <v>55</v>
      </c>
      <c r="AC141" s="8">
        <v>1100</v>
      </c>
      <c r="AD141" s="7">
        <f t="shared" si="70"/>
        <v>0.55000000000000004</v>
      </c>
      <c r="AE141" s="68">
        <f t="shared" si="66"/>
        <v>168989.70037453182</v>
      </c>
      <c r="AF141" s="66">
        <v>437</v>
      </c>
      <c r="AG141" s="41">
        <f t="shared" si="81"/>
        <v>2.9499287259036442</v>
      </c>
      <c r="AH141" s="45">
        <f t="shared" si="71"/>
        <v>0.47791321014188687</v>
      </c>
      <c r="AI141" s="45">
        <f t="shared" si="72"/>
        <v>0.87667077922201997</v>
      </c>
      <c r="AJ141" s="68">
        <f t="shared" si="82"/>
        <v>168.98970037453182</v>
      </c>
      <c r="AK141" s="21">
        <f t="shared" si="73"/>
        <v>1.7290000000000001</v>
      </c>
      <c r="AL141" s="21">
        <f t="shared" si="65"/>
        <v>1.8465720000000003</v>
      </c>
      <c r="AM141" s="21">
        <f t="shared" si="59"/>
        <v>170.83627237453183</v>
      </c>
      <c r="AN141" s="41">
        <f t="shared" si="74"/>
        <v>2.9499287259036442</v>
      </c>
      <c r="AO141" s="41">
        <f t="shared" si="75"/>
        <v>0.47791321014188687</v>
      </c>
      <c r="AP141" s="41">
        <f t="shared" si="76"/>
        <v>0.87667077922201997</v>
      </c>
      <c r="AQ141" s="21">
        <f t="shared" si="77"/>
        <v>0.91546746200000051</v>
      </c>
      <c r="AR141" s="21">
        <f t="shared" si="78"/>
        <v>221.3765074906367</v>
      </c>
      <c r="AS141" s="21">
        <f t="shared" si="79"/>
        <v>222.29197495263671</v>
      </c>
      <c r="AT141" s="41">
        <f t="shared" si="80"/>
        <v>3.4152202907681461</v>
      </c>
      <c r="AU141" s="4"/>
    </row>
    <row r="142" spans="1:60" x14ac:dyDescent="0.25">
      <c r="B142" s="4" t="s">
        <v>176</v>
      </c>
      <c r="C142" s="8">
        <v>152</v>
      </c>
      <c r="D142" s="4">
        <v>455</v>
      </c>
      <c r="E142" s="8">
        <v>381</v>
      </c>
      <c r="F142" s="4">
        <v>2440</v>
      </c>
      <c r="G142" s="8">
        <v>2136</v>
      </c>
      <c r="H142" s="4">
        <v>152</v>
      </c>
      <c r="I142" s="8">
        <v>152</v>
      </c>
      <c r="J142" s="4">
        <v>152</v>
      </c>
      <c r="K142" s="8">
        <v>152</v>
      </c>
      <c r="L142" s="4">
        <v>1310</v>
      </c>
      <c r="M142">
        <f t="shared" si="67"/>
        <v>1158</v>
      </c>
      <c r="N142" s="4">
        <v>4</v>
      </c>
      <c r="O142" s="4">
        <v>19</v>
      </c>
      <c r="P142" s="21">
        <f t="shared" si="68"/>
        <v>1134.1149479459152</v>
      </c>
      <c r="Q142" s="29">
        <f t="shared" si="56"/>
        <v>1.9583418772377317E-2</v>
      </c>
      <c r="R142" s="21">
        <v>496</v>
      </c>
      <c r="S142" s="41">
        <f t="shared" si="57"/>
        <v>3.4383202099737531</v>
      </c>
      <c r="T142" s="41">
        <f t="shared" si="58"/>
        <v>3.0393700787401574</v>
      </c>
      <c r="U142" s="57">
        <v>10</v>
      </c>
      <c r="V142" s="4">
        <v>38.1</v>
      </c>
      <c r="W142" s="8" t="s">
        <v>456</v>
      </c>
      <c r="X142" s="7">
        <f t="shared" si="69"/>
        <v>1</v>
      </c>
      <c r="Y142" s="4">
        <v>30</v>
      </c>
      <c r="Z142" s="8">
        <v>1</v>
      </c>
      <c r="AA142" s="8">
        <v>0.54</v>
      </c>
      <c r="AB142" s="66">
        <v>55</v>
      </c>
      <c r="AC142" s="8">
        <v>1100</v>
      </c>
      <c r="AD142" s="7">
        <f t="shared" si="70"/>
        <v>0.55000000000000004</v>
      </c>
      <c r="AE142" s="68">
        <f t="shared" si="66"/>
        <v>172083.33333333334</v>
      </c>
      <c r="AF142" s="66">
        <v>445</v>
      </c>
      <c r="AG142" s="41">
        <f t="shared" si="81"/>
        <v>3.0033482755445045</v>
      </c>
      <c r="AH142" s="45">
        <f t="shared" si="71"/>
        <v>0.48656762549403298</v>
      </c>
      <c r="AI142" s="45">
        <f t="shared" si="72"/>
        <v>0.89254619946458758</v>
      </c>
      <c r="AJ142" s="68">
        <f t="shared" si="82"/>
        <v>172.08333333333334</v>
      </c>
      <c r="AK142" s="21">
        <f t="shared" si="73"/>
        <v>1.7290000000000001</v>
      </c>
      <c r="AL142" s="21">
        <f t="shared" si="65"/>
        <v>1.8465720000000003</v>
      </c>
      <c r="AM142" s="21">
        <f t="shared" si="59"/>
        <v>173.92990533333335</v>
      </c>
      <c r="AN142" s="41">
        <f t="shared" si="74"/>
        <v>3.0033482755445049</v>
      </c>
      <c r="AO142" s="41">
        <f t="shared" si="75"/>
        <v>0.4865676254940331</v>
      </c>
      <c r="AP142" s="41">
        <f t="shared" si="76"/>
        <v>0.89254619946458769</v>
      </c>
      <c r="AQ142" s="21">
        <f t="shared" si="77"/>
        <v>0.91546746200000051</v>
      </c>
      <c r="AR142" s="21">
        <f t="shared" si="78"/>
        <v>225.42916666666667</v>
      </c>
      <c r="AS142" s="21">
        <f t="shared" si="79"/>
        <v>226.34463412866668</v>
      </c>
      <c r="AT142" s="41">
        <f t="shared" si="80"/>
        <v>3.4156311612924712</v>
      </c>
      <c r="AU142" s="4"/>
    </row>
    <row r="143" spans="1:60" x14ac:dyDescent="0.25">
      <c r="B143" s="4" t="s">
        <v>177</v>
      </c>
      <c r="C143" s="8">
        <v>152</v>
      </c>
      <c r="D143" s="4">
        <v>455</v>
      </c>
      <c r="E143" s="8">
        <v>381</v>
      </c>
      <c r="F143" s="4">
        <v>2440</v>
      </c>
      <c r="G143" s="8">
        <v>2136</v>
      </c>
      <c r="H143" s="4">
        <v>152</v>
      </c>
      <c r="I143" s="8">
        <v>152</v>
      </c>
      <c r="J143" s="4">
        <v>152</v>
      </c>
      <c r="K143" s="8">
        <v>152</v>
      </c>
      <c r="L143" s="4">
        <v>1310</v>
      </c>
      <c r="M143">
        <f t="shared" si="67"/>
        <v>1158</v>
      </c>
      <c r="N143" s="4">
        <v>4</v>
      </c>
      <c r="O143" s="4">
        <v>22</v>
      </c>
      <c r="P143" s="21">
        <f t="shared" si="68"/>
        <v>1520.5308443374599</v>
      </c>
      <c r="Q143" s="29">
        <f t="shared" si="56"/>
        <v>2.6255885556317516E-2</v>
      </c>
      <c r="R143" s="21">
        <v>448</v>
      </c>
      <c r="S143" s="41">
        <f t="shared" si="57"/>
        <v>3.4383202099737531</v>
      </c>
      <c r="T143" s="41">
        <f t="shared" si="58"/>
        <v>3.0393700787401574</v>
      </c>
      <c r="U143" s="57">
        <v>10</v>
      </c>
      <c r="V143" s="4">
        <v>31</v>
      </c>
      <c r="W143" s="8" t="s">
        <v>456</v>
      </c>
      <c r="X143" s="7">
        <f t="shared" si="69"/>
        <v>1</v>
      </c>
      <c r="Y143" s="4">
        <v>30</v>
      </c>
      <c r="Z143" s="8">
        <v>1.5</v>
      </c>
      <c r="AA143" s="8">
        <v>0.54</v>
      </c>
      <c r="AB143" s="66">
        <v>55</v>
      </c>
      <c r="AC143" s="8">
        <v>1100</v>
      </c>
      <c r="AD143" s="7">
        <f t="shared" si="70"/>
        <v>0.82499999999999996</v>
      </c>
      <c r="AE143" s="68">
        <f t="shared" si="66"/>
        <v>148494.38202247192</v>
      </c>
      <c r="AF143" s="66">
        <v>384</v>
      </c>
      <c r="AG143" s="41">
        <f t="shared" si="81"/>
        <v>2.5960242095329451</v>
      </c>
      <c r="AH143" s="45">
        <f t="shared" si="71"/>
        <v>0.4662597122219842</v>
      </c>
      <c r="AI143" s="45">
        <f t="shared" si="72"/>
        <v>0.82639593758136498</v>
      </c>
      <c r="AJ143" s="68">
        <f t="shared" si="82"/>
        <v>148.49438202247191</v>
      </c>
      <c r="AK143" s="21">
        <f t="shared" si="73"/>
        <v>1.7290000000000001</v>
      </c>
      <c r="AL143" s="21">
        <f t="shared" si="65"/>
        <v>1.8465720000000003</v>
      </c>
      <c r="AM143" s="21">
        <f t="shared" si="59"/>
        <v>150.34095402247192</v>
      </c>
      <c r="AN143" s="41">
        <f t="shared" si="74"/>
        <v>2.5960242095329451</v>
      </c>
      <c r="AO143" s="41">
        <f t="shared" si="75"/>
        <v>0.4662597122219842</v>
      </c>
      <c r="AP143" s="41">
        <f t="shared" si="76"/>
        <v>0.82639593758136498</v>
      </c>
      <c r="AQ143" s="21">
        <f t="shared" si="77"/>
        <v>0.91546746200000051</v>
      </c>
      <c r="AR143" s="21">
        <f t="shared" si="78"/>
        <v>194.52764044943822</v>
      </c>
      <c r="AS143" s="21">
        <f t="shared" si="79"/>
        <v>195.44310791143823</v>
      </c>
      <c r="AT143" s="41">
        <f t="shared" si="80"/>
        <v>3.4120711807927298</v>
      </c>
      <c r="AU143" s="4"/>
    </row>
    <row r="144" spans="1:60" x14ac:dyDescent="0.25">
      <c r="B144" s="4" t="s">
        <v>178</v>
      </c>
      <c r="C144" s="8">
        <v>152</v>
      </c>
      <c r="D144" s="4">
        <v>455</v>
      </c>
      <c r="E144" s="8">
        <v>381</v>
      </c>
      <c r="F144" s="4">
        <v>2440</v>
      </c>
      <c r="G144" s="8">
        <v>2136</v>
      </c>
      <c r="H144" s="4">
        <v>152</v>
      </c>
      <c r="I144" s="8">
        <v>152</v>
      </c>
      <c r="J144" s="4">
        <v>152</v>
      </c>
      <c r="K144" s="8">
        <v>152</v>
      </c>
      <c r="L144" s="4">
        <v>1310</v>
      </c>
      <c r="M144">
        <f t="shared" si="67"/>
        <v>1158</v>
      </c>
      <c r="N144" s="4">
        <v>4</v>
      </c>
      <c r="O144" s="4">
        <v>22</v>
      </c>
      <c r="P144" s="21">
        <f t="shared" si="68"/>
        <v>1520.5308443374599</v>
      </c>
      <c r="Q144" s="29">
        <f t="shared" si="56"/>
        <v>2.6255885556317516E-2</v>
      </c>
      <c r="R144" s="21">
        <v>448</v>
      </c>
      <c r="S144" s="41">
        <f t="shared" si="57"/>
        <v>3.4383202099737531</v>
      </c>
      <c r="T144" s="41">
        <f t="shared" si="58"/>
        <v>3.0393700787401574</v>
      </c>
      <c r="U144" s="57">
        <v>10</v>
      </c>
      <c r="V144" s="4">
        <v>31</v>
      </c>
      <c r="W144" s="8" t="s">
        <v>456</v>
      </c>
      <c r="X144" s="7">
        <f t="shared" si="69"/>
        <v>1</v>
      </c>
      <c r="Y144" s="4">
        <v>30</v>
      </c>
      <c r="Z144" s="8">
        <v>1.5</v>
      </c>
      <c r="AA144" s="8">
        <v>0.54</v>
      </c>
      <c r="AB144" s="66">
        <v>55</v>
      </c>
      <c r="AC144" s="8">
        <v>1100</v>
      </c>
      <c r="AD144" s="7">
        <f t="shared" si="70"/>
        <v>0.82499999999999996</v>
      </c>
      <c r="AE144" s="68">
        <f t="shared" si="66"/>
        <v>196058.98876404495</v>
      </c>
      <c r="AF144" s="66">
        <v>507</v>
      </c>
      <c r="AG144" s="41">
        <f t="shared" si="81"/>
        <v>3.4173497852611718</v>
      </c>
      <c r="AH144" s="45">
        <f t="shared" si="71"/>
        <v>0.61377414031296718</v>
      </c>
      <c r="AI144" s="45">
        <f t="shared" si="72"/>
        <v>1.0878496315496489</v>
      </c>
      <c r="AJ144" s="68">
        <f t="shared" si="82"/>
        <v>196.05898876404495</v>
      </c>
      <c r="AK144" s="21">
        <f t="shared" si="73"/>
        <v>1.7290000000000001</v>
      </c>
      <c r="AL144" s="21">
        <f t="shared" si="65"/>
        <v>1.8465720000000003</v>
      </c>
      <c r="AM144" s="21">
        <f t="shared" si="59"/>
        <v>197.90556076404496</v>
      </c>
      <c r="AN144" s="41">
        <f t="shared" si="74"/>
        <v>3.4173497852611714</v>
      </c>
      <c r="AO144" s="41">
        <f t="shared" si="75"/>
        <v>0.61377414031296706</v>
      </c>
      <c r="AP144" s="41">
        <f t="shared" si="76"/>
        <v>1.0878496315496486</v>
      </c>
      <c r="AQ144" s="21">
        <f t="shared" si="77"/>
        <v>0.91546746200000051</v>
      </c>
      <c r="AR144" s="21">
        <f t="shared" si="78"/>
        <v>256.83727528089889</v>
      </c>
      <c r="AS144" s="21">
        <f t="shared" si="79"/>
        <v>257.75274274289887</v>
      </c>
      <c r="AT144" s="41">
        <f t="shared" si="80"/>
        <v>3.4183798703794359</v>
      </c>
      <c r="AU144" s="4"/>
    </row>
    <row r="145" spans="1:60" x14ac:dyDescent="0.25">
      <c r="B145" s="4" t="s">
        <v>179</v>
      </c>
      <c r="C145" s="8">
        <v>152</v>
      </c>
      <c r="D145" s="4">
        <v>455</v>
      </c>
      <c r="E145" s="8">
        <v>381</v>
      </c>
      <c r="F145" s="4">
        <v>2440</v>
      </c>
      <c r="G145" s="8">
        <v>2136</v>
      </c>
      <c r="H145" s="4">
        <v>152</v>
      </c>
      <c r="I145" s="8">
        <v>152</v>
      </c>
      <c r="J145" s="4">
        <v>152</v>
      </c>
      <c r="K145" s="8">
        <v>152</v>
      </c>
      <c r="L145" s="4">
        <v>1310</v>
      </c>
      <c r="M145">
        <f t="shared" si="67"/>
        <v>1158</v>
      </c>
      <c r="N145" s="4">
        <v>4</v>
      </c>
      <c r="O145" s="4">
        <v>22</v>
      </c>
      <c r="P145" s="21">
        <f t="shared" si="68"/>
        <v>1520.5308443374599</v>
      </c>
      <c r="Q145" s="29">
        <f t="shared" si="56"/>
        <v>2.6255885556317516E-2</v>
      </c>
      <c r="R145" s="21">
        <v>448</v>
      </c>
      <c r="S145" s="41">
        <f t="shared" si="57"/>
        <v>3.4383202099737531</v>
      </c>
      <c r="T145" s="41">
        <f t="shared" si="58"/>
        <v>3.0393700787401574</v>
      </c>
      <c r="U145" s="57">
        <v>10</v>
      </c>
      <c r="V145" s="4">
        <v>44.9</v>
      </c>
      <c r="W145" s="8" t="s">
        <v>456</v>
      </c>
      <c r="X145" s="7">
        <f t="shared" si="69"/>
        <v>1</v>
      </c>
      <c r="Y145" s="4">
        <v>30</v>
      </c>
      <c r="Z145" s="8">
        <v>1.5</v>
      </c>
      <c r="AA145" s="8">
        <v>0.54</v>
      </c>
      <c r="AB145" s="66">
        <v>55</v>
      </c>
      <c r="AC145" s="8">
        <v>1100</v>
      </c>
      <c r="AD145" s="7">
        <f t="shared" si="70"/>
        <v>0.82499999999999996</v>
      </c>
      <c r="AE145" s="68">
        <f t="shared" si="66"/>
        <v>191031.83520599251</v>
      </c>
      <c r="AF145" s="66">
        <v>494</v>
      </c>
      <c r="AG145" s="41">
        <f t="shared" si="81"/>
        <v>3.3305430170947736</v>
      </c>
      <c r="AH145" s="45">
        <f t="shared" si="71"/>
        <v>0.49704061371922775</v>
      </c>
      <c r="AI145" s="45">
        <f t="shared" si="72"/>
        <v>0.93705755610791885</v>
      </c>
      <c r="AJ145" s="68">
        <f t="shared" si="82"/>
        <v>191.03183520599251</v>
      </c>
      <c r="AK145" s="21">
        <f t="shared" si="73"/>
        <v>1.7290000000000001</v>
      </c>
      <c r="AL145" s="21">
        <f t="shared" si="65"/>
        <v>1.8465720000000003</v>
      </c>
      <c r="AM145" s="21">
        <f t="shared" si="59"/>
        <v>192.87840720599252</v>
      </c>
      <c r="AN145" s="41">
        <f t="shared" si="74"/>
        <v>3.3305430170947736</v>
      </c>
      <c r="AO145" s="41">
        <f t="shared" si="75"/>
        <v>0.49704061371922775</v>
      </c>
      <c r="AP145" s="41">
        <f t="shared" si="76"/>
        <v>0.93705755610791885</v>
      </c>
      <c r="AQ145" s="21">
        <f t="shared" si="77"/>
        <v>0.91546746200000051</v>
      </c>
      <c r="AR145" s="21">
        <f t="shared" si="78"/>
        <v>250.25170411985019</v>
      </c>
      <c r="AS145" s="21">
        <f t="shared" si="79"/>
        <v>251.1671715818502</v>
      </c>
      <c r="AT145" s="41">
        <f t="shared" si="80"/>
        <v>3.4178601483919286</v>
      </c>
      <c r="AU145" s="4"/>
    </row>
    <row r="146" spans="1:60" x14ac:dyDescent="0.25">
      <c r="B146" s="4" t="s">
        <v>180</v>
      </c>
      <c r="C146" s="8">
        <v>152</v>
      </c>
      <c r="D146" s="4">
        <v>455</v>
      </c>
      <c r="E146" s="8">
        <v>381</v>
      </c>
      <c r="F146" s="4">
        <v>2440</v>
      </c>
      <c r="G146" s="8">
        <v>2136</v>
      </c>
      <c r="H146" s="4">
        <v>152</v>
      </c>
      <c r="I146" s="8">
        <v>152</v>
      </c>
      <c r="J146" s="4">
        <v>152</v>
      </c>
      <c r="K146" s="8">
        <v>152</v>
      </c>
      <c r="L146" s="4">
        <v>1310</v>
      </c>
      <c r="M146">
        <f t="shared" si="67"/>
        <v>1158</v>
      </c>
      <c r="N146" s="4">
        <v>4</v>
      </c>
      <c r="O146" s="4">
        <v>22</v>
      </c>
      <c r="P146" s="21">
        <f t="shared" si="68"/>
        <v>1520.5308443374599</v>
      </c>
      <c r="Q146" s="29">
        <f t="shared" si="56"/>
        <v>2.6255885556317516E-2</v>
      </c>
      <c r="R146" s="21">
        <v>448</v>
      </c>
      <c r="S146" s="41">
        <f t="shared" si="57"/>
        <v>3.4383202099737531</v>
      </c>
      <c r="T146" s="41">
        <f t="shared" si="58"/>
        <v>3.0393700787401574</v>
      </c>
      <c r="U146" s="57">
        <v>10</v>
      </c>
      <c r="V146" s="4">
        <v>44.9</v>
      </c>
      <c r="W146" s="8" t="s">
        <v>456</v>
      </c>
      <c r="X146" s="7">
        <f t="shared" si="69"/>
        <v>1</v>
      </c>
      <c r="Y146" s="4">
        <v>30</v>
      </c>
      <c r="Z146" s="8">
        <v>1.5</v>
      </c>
      <c r="AA146" s="8">
        <v>0.54</v>
      </c>
      <c r="AB146" s="66">
        <v>55</v>
      </c>
      <c r="AC146" s="8">
        <v>1100</v>
      </c>
      <c r="AD146" s="7">
        <f t="shared" si="70"/>
        <v>0.82499999999999996</v>
      </c>
      <c r="AE146" s="68">
        <f t="shared" si="66"/>
        <v>189485.01872659175</v>
      </c>
      <c r="AF146" s="66">
        <v>490</v>
      </c>
      <c r="AG146" s="41">
        <f t="shared" si="81"/>
        <v>3.3038332422743433</v>
      </c>
      <c r="AH146" s="45">
        <f t="shared" si="71"/>
        <v>0.49305452412335471</v>
      </c>
      <c r="AI146" s="45">
        <f t="shared" si="72"/>
        <v>0.92954268655392713</v>
      </c>
      <c r="AJ146" s="68">
        <f t="shared" si="82"/>
        <v>189.48501872659176</v>
      </c>
      <c r="AK146" s="21">
        <f t="shared" si="73"/>
        <v>1.7290000000000001</v>
      </c>
      <c r="AL146" s="21">
        <f t="shared" si="65"/>
        <v>1.8465720000000003</v>
      </c>
      <c r="AM146" s="21">
        <f t="shared" si="59"/>
        <v>191.33159072659177</v>
      </c>
      <c r="AN146" s="41">
        <f t="shared" si="74"/>
        <v>3.3038332422743433</v>
      </c>
      <c r="AO146" s="41">
        <f t="shared" si="75"/>
        <v>0.49305452412335471</v>
      </c>
      <c r="AP146" s="41">
        <f t="shared" si="76"/>
        <v>0.92954268655392713</v>
      </c>
      <c r="AQ146" s="21">
        <f t="shared" si="77"/>
        <v>0.91546746200000051</v>
      </c>
      <c r="AR146" s="21">
        <f t="shared" si="78"/>
        <v>248.2253745318352</v>
      </c>
      <c r="AS146" s="21">
        <f t="shared" si="79"/>
        <v>249.14084199383521</v>
      </c>
      <c r="AT146" s="41">
        <f t="shared" si="80"/>
        <v>3.4176947394267692</v>
      </c>
      <c r="AU146" s="4"/>
    </row>
    <row r="147" spans="1:60" x14ac:dyDescent="0.25">
      <c r="B147" s="4" t="s">
        <v>181</v>
      </c>
      <c r="C147" s="8">
        <v>152</v>
      </c>
      <c r="D147" s="4">
        <v>455</v>
      </c>
      <c r="E147" s="8">
        <v>381</v>
      </c>
      <c r="F147" s="4">
        <v>2440</v>
      </c>
      <c r="G147" s="8">
        <v>2136</v>
      </c>
      <c r="H147" s="4">
        <v>152</v>
      </c>
      <c r="I147" s="8">
        <v>152</v>
      </c>
      <c r="J147" s="4">
        <v>152</v>
      </c>
      <c r="K147" s="8">
        <v>152</v>
      </c>
      <c r="L147" s="4">
        <v>1310</v>
      </c>
      <c r="M147">
        <f t="shared" si="67"/>
        <v>1158</v>
      </c>
      <c r="N147" s="4">
        <v>4</v>
      </c>
      <c r="O147" s="4">
        <v>22</v>
      </c>
      <c r="P147" s="21">
        <f t="shared" si="68"/>
        <v>1520.5308443374599</v>
      </c>
      <c r="Q147" s="29">
        <f t="shared" si="56"/>
        <v>2.6255885556317516E-2</v>
      </c>
      <c r="R147" s="21">
        <v>448</v>
      </c>
      <c r="S147" s="41">
        <f t="shared" si="57"/>
        <v>3.4383202099737531</v>
      </c>
      <c r="T147" s="41">
        <f t="shared" si="58"/>
        <v>3.0393700787401574</v>
      </c>
      <c r="U147" s="57">
        <v>10</v>
      </c>
      <c r="V147" s="4">
        <v>49.2</v>
      </c>
      <c r="W147" s="8" t="s">
        <v>456</v>
      </c>
      <c r="X147" s="7">
        <f t="shared" si="69"/>
        <v>1</v>
      </c>
      <c r="Y147" s="4">
        <v>60</v>
      </c>
      <c r="Z147" s="8">
        <v>1</v>
      </c>
      <c r="AA147" s="8">
        <v>0.75</v>
      </c>
      <c r="AB147" s="66">
        <v>80</v>
      </c>
      <c r="AC147" s="8">
        <v>1100</v>
      </c>
      <c r="AD147" s="7">
        <f t="shared" si="70"/>
        <v>0.8</v>
      </c>
      <c r="AE147" s="68">
        <f t="shared" si="66"/>
        <v>172083.33333333334</v>
      </c>
      <c r="AF147" s="66">
        <v>445</v>
      </c>
      <c r="AG147" s="41">
        <f t="shared" si="81"/>
        <v>3.0033482755445045</v>
      </c>
      <c r="AH147" s="45">
        <f t="shared" si="71"/>
        <v>0.4281768132664675</v>
      </c>
      <c r="AI147" s="45">
        <f t="shared" si="72"/>
        <v>0.81962902495417866</v>
      </c>
      <c r="AJ147" s="68">
        <f t="shared" si="82"/>
        <v>172.08333333333334</v>
      </c>
      <c r="AK147" s="21">
        <f t="shared" si="73"/>
        <v>1.7290000000000001</v>
      </c>
      <c r="AL147" s="21">
        <f t="shared" si="65"/>
        <v>1.8465720000000003</v>
      </c>
      <c r="AM147" s="21">
        <f t="shared" si="59"/>
        <v>173.92990533333335</v>
      </c>
      <c r="AN147" s="41">
        <f t="shared" si="74"/>
        <v>3.0033482755445049</v>
      </c>
      <c r="AO147" s="41">
        <f t="shared" si="75"/>
        <v>0.42817681326646756</v>
      </c>
      <c r="AP147" s="41">
        <f t="shared" si="76"/>
        <v>0.81962902495417878</v>
      </c>
      <c r="AQ147" s="21">
        <f t="shared" si="77"/>
        <v>0.91546746200000051</v>
      </c>
      <c r="AR147" s="21">
        <f t="shared" si="78"/>
        <v>225.42916666666667</v>
      </c>
      <c r="AS147" s="21">
        <f t="shared" si="79"/>
        <v>226.34463412866668</v>
      </c>
      <c r="AT147" s="41">
        <f t="shared" si="80"/>
        <v>3.4156311612924712</v>
      </c>
      <c r="AU147" s="4"/>
    </row>
    <row r="148" spans="1:60" x14ac:dyDescent="0.25">
      <c r="B148" s="4" t="s">
        <v>182</v>
      </c>
      <c r="C148" s="8">
        <v>152</v>
      </c>
      <c r="D148" s="4">
        <v>455</v>
      </c>
      <c r="E148" s="8">
        <v>381</v>
      </c>
      <c r="F148" s="4">
        <v>2440</v>
      </c>
      <c r="G148" s="8">
        <v>2136</v>
      </c>
      <c r="H148" s="4">
        <v>152</v>
      </c>
      <c r="I148" s="8">
        <v>152</v>
      </c>
      <c r="J148" s="4">
        <v>152</v>
      </c>
      <c r="K148" s="8">
        <v>152</v>
      </c>
      <c r="L148" s="4">
        <v>1310</v>
      </c>
      <c r="M148">
        <f t="shared" si="67"/>
        <v>1158</v>
      </c>
      <c r="N148" s="4">
        <v>4</v>
      </c>
      <c r="O148" s="4">
        <v>22</v>
      </c>
      <c r="P148" s="21">
        <f t="shared" si="68"/>
        <v>1520.5308443374599</v>
      </c>
      <c r="Q148" s="29">
        <f t="shared" si="56"/>
        <v>2.6255885556317516E-2</v>
      </c>
      <c r="R148" s="21">
        <v>448</v>
      </c>
      <c r="S148" s="41">
        <f t="shared" si="57"/>
        <v>3.4383202099737531</v>
      </c>
      <c r="T148" s="41">
        <f t="shared" si="58"/>
        <v>3.0393700787401574</v>
      </c>
      <c r="U148" s="57">
        <v>10</v>
      </c>
      <c r="V148" s="4">
        <v>49.2</v>
      </c>
      <c r="W148" s="8" t="s">
        <v>456</v>
      </c>
      <c r="X148" s="7">
        <f t="shared" si="69"/>
        <v>1</v>
      </c>
      <c r="Y148" s="4">
        <v>60</v>
      </c>
      <c r="Z148" s="8">
        <v>1</v>
      </c>
      <c r="AA148" s="8">
        <v>0.75</v>
      </c>
      <c r="AB148" s="66">
        <v>80</v>
      </c>
      <c r="AC148" s="8">
        <v>1100</v>
      </c>
      <c r="AD148" s="7">
        <f t="shared" si="70"/>
        <v>0.8</v>
      </c>
      <c r="AE148" s="68">
        <f t="shared" si="66"/>
        <v>218487.82771535579</v>
      </c>
      <c r="AF148" s="66">
        <v>565</v>
      </c>
      <c r="AG148" s="41">
        <f t="shared" si="81"/>
        <v>3.8046415201574075</v>
      </c>
      <c r="AH148" s="45">
        <f t="shared" si="71"/>
        <v>0.5424143763103666</v>
      </c>
      <c r="AI148" s="45">
        <f t="shared" si="72"/>
        <v>1.0383060282615535</v>
      </c>
      <c r="AJ148" s="68">
        <f t="shared" si="82"/>
        <v>218.48782771535579</v>
      </c>
      <c r="AK148" s="21">
        <f t="shared" si="73"/>
        <v>1.7290000000000001</v>
      </c>
      <c r="AL148" s="21">
        <f t="shared" si="65"/>
        <v>1.8465720000000003</v>
      </c>
      <c r="AM148" s="21">
        <f t="shared" si="59"/>
        <v>220.3343997153558</v>
      </c>
      <c r="AN148" s="41">
        <f t="shared" si="74"/>
        <v>3.804641520157408</v>
      </c>
      <c r="AO148" s="41">
        <f t="shared" si="75"/>
        <v>0.5424143763103666</v>
      </c>
      <c r="AP148" s="41">
        <f t="shared" si="76"/>
        <v>1.0383060282615535</v>
      </c>
      <c r="AQ148" s="21">
        <f t="shared" si="77"/>
        <v>0.91546746200000051</v>
      </c>
      <c r="AR148" s="21">
        <f t="shared" si="78"/>
        <v>286.2190543071161</v>
      </c>
      <c r="AS148" s="21">
        <f t="shared" si="79"/>
        <v>287.13452176911608</v>
      </c>
      <c r="AT148" s="41">
        <f t="shared" si="80"/>
        <v>3.4204096880836761</v>
      </c>
      <c r="AU148" s="4"/>
    </row>
    <row r="149" spans="1:60" x14ac:dyDescent="0.25">
      <c r="B149" s="4" t="s">
        <v>183</v>
      </c>
      <c r="C149" s="8">
        <v>152</v>
      </c>
      <c r="D149" s="4">
        <v>455</v>
      </c>
      <c r="E149" s="8">
        <v>381</v>
      </c>
      <c r="F149" s="4">
        <v>2440</v>
      </c>
      <c r="G149" s="8">
        <v>2136</v>
      </c>
      <c r="H149" s="4">
        <v>152</v>
      </c>
      <c r="I149" s="8">
        <v>152</v>
      </c>
      <c r="J149" s="4">
        <v>152</v>
      </c>
      <c r="K149" s="8">
        <v>152</v>
      </c>
      <c r="L149" s="4">
        <v>1310</v>
      </c>
      <c r="M149">
        <f t="shared" si="67"/>
        <v>1158</v>
      </c>
      <c r="N149" s="4">
        <v>4</v>
      </c>
      <c r="O149" s="4">
        <v>19</v>
      </c>
      <c r="P149" s="21">
        <f t="shared" si="68"/>
        <v>1134.1149479459152</v>
      </c>
      <c r="Q149" s="29">
        <f t="shared" si="56"/>
        <v>1.9583418772377317E-2</v>
      </c>
      <c r="R149" s="21">
        <v>496</v>
      </c>
      <c r="S149" s="41">
        <f t="shared" si="57"/>
        <v>3.4383202099737531</v>
      </c>
      <c r="T149" s="41">
        <f t="shared" si="58"/>
        <v>3.0393700787401574</v>
      </c>
      <c r="U149" s="57">
        <v>10</v>
      </c>
      <c r="V149" s="4">
        <v>43.3</v>
      </c>
      <c r="W149" s="8" t="s">
        <v>456</v>
      </c>
      <c r="X149" s="7">
        <f t="shared" si="69"/>
        <v>1</v>
      </c>
      <c r="Y149" s="4">
        <v>30</v>
      </c>
      <c r="Z149" s="8">
        <v>0.75</v>
      </c>
      <c r="AA149" s="8">
        <v>0.375</v>
      </c>
      <c r="AB149" s="66">
        <v>80</v>
      </c>
      <c r="AC149" s="8">
        <v>2300</v>
      </c>
      <c r="AD149" s="7">
        <f t="shared" si="70"/>
        <v>0.6</v>
      </c>
      <c r="AE149" s="68">
        <f t="shared" si="66"/>
        <v>192578.65168539324</v>
      </c>
      <c r="AF149" s="66">
        <v>498</v>
      </c>
      <c r="AG149" s="41">
        <f t="shared" si="81"/>
        <v>3.3572527919152035</v>
      </c>
      <c r="AH149" s="45">
        <f t="shared" si="71"/>
        <v>0.51019957850190378</v>
      </c>
      <c r="AI149" s="45">
        <f t="shared" si="72"/>
        <v>0.95606644974048416</v>
      </c>
      <c r="AJ149" s="68">
        <f t="shared" si="82"/>
        <v>192.57865168539325</v>
      </c>
      <c r="AK149" s="21">
        <f t="shared" si="73"/>
        <v>1.7290000000000001</v>
      </c>
      <c r="AL149" s="21">
        <f t="shared" si="65"/>
        <v>1.8465720000000003</v>
      </c>
      <c r="AM149" s="21">
        <f t="shared" si="59"/>
        <v>194.42522368539326</v>
      </c>
      <c r="AN149" s="41">
        <f t="shared" si="74"/>
        <v>3.3572527919152035</v>
      </c>
      <c r="AO149" s="41">
        <f t="shared" si="75"/>
        <v>0.51019957850190378</v>
      </c>
      <c r="AP149" s="41">
        <f t="shared" si="76"/>
        <v>0.95606644974048416</v>
      </c>
      <c r="AQ149" s="21">
        <f t="shared" si="77"/>
        <v>0.91546746200000051</v>
      </c>
      <c r="AR149" s="21">
        <f t="shared" si="78"/>
        <v>252.27803370786518</v>
      </c>
      <c r="AS149" s="21">
        <f t="shared" si="79"/>
        <v>253.19350116986519</v>
      </c>
      <c r="AT149" s="41">
        <f t="shared" si="80"/>
        <v>3.4180229254217012</v>
      </c>
      <c r="AU149" s="4"/>
    </row>
    <row r="150" spans="1:60" x14ac:dyDescent="0.25">
      <c r="B150" s="4" t="s">
        <v>184</v>
      </c>
      <c r="C150" s="8">
        <v>152</v>
      </c>
      <c r="D150" s="4">
        <v>455</v>
      </c>
      <c r="E150" s="8">
        <v>381</v>
      </c>
      <c r="F150" s="4">
        <v>2440</v>
      </c>
      <c r="G150" s="8">
        <v>2136</v>
      </c>
      <c r="H150" s="4">
        <v>152</v>
      </c>
      <c r="I150" s="8">
        <v>152</v>
      </c>
      <c r="J150" s="4">
        <v>152</v>
      </c>
      <c r="K150" s="8">
        <v>152</v>
      </c>
      <c r="L150" s="4">
        <v>1310</v>
      </c>
      <c r="M150">
        <f t="shared" si="67"/>
        <v>1158</v>
      </c>
      <c r="N150" s="4">
        <v>4</v>
      </c>
      <c r="O150" s="4">
        <v>19</v>
      </c>
      <c r="P150" s="21">
        <f t="shared" si="68"/>
        <v>1134.1149479459152</v>
      </c>
      <c r="Q150" s="29">
        <f t="shared" si="56"/>
        <v>1.9583418772377317E-2</v>
      </c>
      <c r="R150" s="21">
        <v>496</v>
      </c>
      <c r="S150" s="41">
        <f t="shared" si="57"/>
        <v>3.4383202099737531</v>
      </c>
      <c r="T150" s="41">
        <f t="shared" si="58"/>
        <v>3.0393700787401574</v>
      </c>
      <c r="U150" s="57">
        <v>10</v>
      </c>
      <c r="V150" s="4">
        <v>43.3</v>
      </c>
      <c r="W150" s="8" t="s">
        <v>456</v>
      </c>
      <c r="X150" s="7">
        <f t="shared" si="69"/>
        <v>1</v>
      </c>
      <c r="Y150" s="4">
        <v>30</v>
      </c>
      <c r="Z150" s="8">
        <v>0.75</v>
      </c>
      <c r="AA150" s="8">
        <v>0.375</v>
      </c>
      <c r="AB150" s="66">
        <v>80</v>
      </c>
      <c r="AC150" s="8">
        <v>2300</v>
      </c>
      <c r="AD150" s="7">
        <f t="shared" si="70"/>
        <v>0.6</v>
      </c>
      <c r="AE150" s="68">
        <f t="shared" si="66"/>
        <v>189485.01872659175</v>
      </c>
      <c r="AF150" s="66">
        <v>490</v>
      </c>
      <c r="AG150" s="41">
        <f t="shared" si="81"/>
        <v>3.3038332422743433</v>
      </c>
      <c r="AH150" s="45">
        <f t="shared" si="71"/>
        <v>0.50208144340759042</v>
      </c>
      <c r="AI150" s="45">
        <f t="shared" si="72"/>
        <v>0.94085382133941053</v>
      </c>
      <c r="AJ150" s="68">
        <f t="shared" si="82"/>
        <v>189.48501872659176</v>
      </c>
      <c r="AK150" s="21">
        <f t="shared" si="73"/>
        <v>1.7290000000000001</v>
      </c>
      <c r="AL150" s="21">
        <f t="shared" si="65"/>
        <v>1.8465720000000003</v>
      </c>
      <c r="AM150" s="21">
        <f t="shared" si="59"/>
        <v>191.33159072659177</v>
      </c>
      <c r="AN150" s="41">
        <f t="shared" si="74"/>
        <v>3.3038332422743433</v>
      </c>
      <c r="AO150" s="41">
        <f t="shared" si="75"/>
        <v>0.50208144340759042</v>
      </c>
      <c r="AP150" s="41">
        <f t="shared" si="76"/>
        <v>0.94085382133941053</v>
      </c>
      <c r="AQ150" s="21">
        <f t="shared" si="77"/>
        <v>0.91546746200000051</v>
      </c>
      <c r="AR150" s="21">
        <f t="shared" si="78"/>
        <v>248.2253745318352</v>
      </c>
      <c r="AS150" s="21">
        <f t="shared" si="79"/>
        <v>249.14084199383521</v>
      </c>
      <c r="AT150" s="41">
        <f t="shared" si="80"/>
        <v>3.4176947394267692</v>
      </c>
      <c r="AU150" s="4"/>
    </row>
    <row r="151" spans="1:60" x14ac:dyDescent="0.25">
      <c r="B151" s="4" t="s">
        <v>185</v>
      </c>
      <c r="C151" s="8">
        <v>205</v>
      </c>
      <c r="D151" s="4">
        <v>685</v>
      </c>
      <c r="E151" s="8">
        <v>610</v>
      </c>
      <c r="F151" s="4">
        <v>4320</v>
      </c>
      <c r="G151" s="8">
        <v>3558</v>
      </c>
      <c r="H151" s="4">
        <v>152</v>
      </c>
      <c r="I151" s="8">
        <v>152</v>
      </c>
      <c r="J151" s="4">
        <v>203</v>
      </c>
      <c r="K151" s="8">
        <v>203</v>
      </c>
      <c r="L151" s="4">
        <v>2136</v>
      </c>
      <c r="M151">
        <f t="shared" si="67"/>
        <v>1958.5</v>
      </c>
      <c r="N151" s="4">
        <v>5</v>
      </c>
      <c r="O151" s="4">
        <v>25</v>
      </c>
      <c r="P151" s="21">
        <f t="shared" si="68"/>
        <v>2454.3692606170257</v>
      </c>
      <c r="Q151" s="29">
        <f t="shared" si="56"/>
        <v>1.9627103243638751E-2</v>
      </c>
      <c r="R151" s="21">
        <v>455</v>
      </c>
      <c r="S151" s="41">
        <f t="shared" si="57"/>
        <v>3.5016393442622951</v>
      </c>
      <c r="T151" s="41">
        <f t="shared" si="58"/>
        <v>3.2106557377049181</v>
      </c>
      <c r="U151" s="57">
        <v>10</v>
      </c>
      <c r="V151" s="4">
        <v>50.8</v>
      </c>
      <c r="W151" s="8" t="s">
        <v>456</v>
      </c>
      <c r="X151" s="7">
        <f t="shared" si="69"/>
        <v>1</v>
      </c>
      <c r="Y151" s="4">
        <v>30</v>
      </c>
      <c r="Z151" s="8">
        <v>0.75</v>
      </c>
      <c r="AA151" s="8">
        <v>0.54</v>
      </c>
      <c r="AB151" s="66">
        <v>55</v>
      </c>
      <c r="AC151" s="8">
        <v>1100</v>
      </c>
      <c r="AD151" s="7">
        <f t="shared" si="70"/>
        <v>0.41249999999999998</v>
      </c>
      <c r="AE151" s="68">
        <f t="shared" si="66"/>
        <v>362893.76053962897</v>
      </c>
      <c r="AF151" s="66">
        <v>908</v>
      </c>
      <c r="AG151" s="41">
        <f t="shared" si="81"/>
        <v>2.9519325263065097</v>
      </c>
      <c r="AH151" s="45">
        <f t="shared" si="71"/>
        <v>0.41416612076305798</v>
      </c>
      <c r="AI151" s="45">
        <f t="shared" si="72"/>
        <v>0.79704930782276473</v>
      </c>
      <c r="AJ151" s="68">
        <f t="shared" si="82"/>
        <v>362.893760539629</v>
      </c>
      <c r="AK151" s="21">
        <f t="shared" si="73"/>
        <v>3.5106250000000001</v>
      </c>
      <c r="AL151" s="21">
        <f t="shared" si="65"/>
        <v>6.2454018749999989</v>
      </c>
      <c r="AM151" s="21">
        <f t="shared" si="59"/>
        <v>369.13916241462903</v>
      </c>
      <c r="AN151" s="41">
        <f t="shared" si="74"/>
        <v>2.9519325263065097</v>
      </c>
      <c r="AO151" s="41">
        <f t="shared" si="75"/>
        <v>0.41416612076305798</v>
      </c>
      <c r="AP151" s="41">
        <f t="shared" si="76"/>
        <v>0.79704930782276473</v>
      </c>
      <c r="AQ151" s="21">
        <f t="shared" si="77"/>
        <v>5.076769227187496</v>
      </c>
      <c r="AR151" s="21">
        <f t="shared" si="78"/>
        <v>775.1410725126475</v>
      </c>
      <c r="AS151" s="21">
        <f t="shared" si="79"/>
        <v>780.21784173983497</v>
      </c>
      <c r="AT151" s="41">
        <f t="shared" si="80"/>
        <v>3.4649416058429079</v>
      </c>
      <c r="AU151" s="4"/>
    </row>
    <row r="152" spans="1:60" x14ac:dyDescent="0.25">
      <c r="B152" s="4" t="s">
        <v>186</v>
      </c>
      <c r="C152" s="8">
        <v>205</v>
      </c>
      <c r="D152" s="4">
        <v>685</v>
      </c>
      <c r="E152" s="8">
        <v>610</v>
      </c>
      <c r="F152" s="4">
        <v>4320</v>
      </c>
      <c r="G152" s="8">
        <v>3558</v>
      </c>
      <c r="H152" s="4">
        <v>152</v>
      </c>
      <c r="I152" s="8">
        <v>152</v>
      </c>
      <c r="J152" s="4">
        <v>203</v>
      </c>
      <c r="K152" s="8">
        <v>203</v>
      </c>
      <c r="L152" s="4">
        <v>2136</v>
      </c>
      <c r="M152">
        <f t="shared" si="67"/>
        <v>1958.5</v>
      </c>
      <c r="N152" s="4">
        <v>5</v>
      </c>
      <c r="O152" s="4">
        <v>25</v>
      </c>
      <c r="P152" s="21">
        <f t="shared" si="68"/>
        <v>2454.3692606170257</v>
      </c>
      <c r="Q152" s="29">
        <f t="shared" ref="Q152:Q161" si="83">P152/(C152*E152)</f>
        <v>1.9627103243638751E-2</v>
      </c>
      <c r="R152" s="21">
        <v>455</v>
      </c>
      <c r="S152" s="41">
        <f t="shared" ref="S152:S215" si="84">L152/E152</f>
        <v>3.5016393442622951</v>
      </c>
      <c r="T152" s="41">
        <f t="shared" ref="T152:T215" si="85">M152/E152</f>
        <v>3.2106557377049181</v>
      </c>
      <c r="U152" s="57">
        <v>10</v>
      </c>
      <c r="V152" s="4">
        <v>50.8</v>
      </c>
      <c r="W152" s="8" t="s">
        <v>456</v>
      </c>
      <c r="X152" s="7">
        <f t="shared" si="69"/>
        <v>1</v>
      </c>
      <c r="Y152" s="4">
        <v>30</v>
      </c>
      <c r="Z152" s="8">
        <v>0.75</v>
      </c>
      <c r="AA152" s="8">
        <v>0.54</v>
      </c>
      <c r="AB152" s="66">
        <v>55</v>
      </c>
      <c r="AC152" s="8">
        <v>1100</v>
      </c>
      <c r="AD152" s="7">
        <f t="shared" si="70"/>
        <v>0.41249999999999998</v>
      </c>
      <c r="AE152" s="68">
        <f t="shared" si="66"/>
        <v>334517.70657672849</v>
      </c>
      <c r="AF152" s="66">
        <v>837</v>
      </c>
      <c r="AG152" s="41">
        <f t="shared" si="81"/>
        <v>2.7250148616691603</v>
      </c>
      <c r="AH152" s="45">
        <f t="shared" si="71"/>
        <v>0.38232880468014113</v>
      </c>
      <c r="AI152" s="45">
        <f t="shared" si="72"/>
        <v>0.73577942244423356</v>
      </c>
      <c r="AJ152" s="68">
        <f t="shared" si="82"/>
        <v>334.51770657672847</v>
      </c>
      <c r="AK152" s="21">
        <f t="shared" si="73"/>
        <v>3.5106250000000001</v>
      </c>
      <c r="AL152" s="21">
        <f t="shared" si="65"/>
        <v>6.2454018749999989</v>
      </c>
      <c r="AM152" s="21">
        <f t="shared" ref="AM152:AM215" si="86">AJ152+AL152</f>
        <v>340.7631084517285</v>
      </c>
      <c r="AN152" s="41">
        <f t="shared" si="74"/>
        <v>2.7250148616691603</v>
      </c>
      <c r="AO152" s="41">
        <f t="shared" si="75"/>
        <v>0.38232880468014113</v>
      </c>
      <c r="AP152" s="41">
        <f t="shared" si="76"/>
        <v>0.73577942244423356</v>
      </c>
      <c r="AQ152" s="21">
        <f t="shared" si="77"/>
        <v>5.076769227187496</v>
      </c>
      <c r="AR152" s="21">
        <f t="shared" si="78"/>
        <v>714.52982124789196</v>
      </c>
      <c r="AS152" s="21">
        <f t="shared" si="79"/>
        <v>719.60659047507943</v>
      </c>
      <c r="AT152" s="41">
        <f t="shared" si="80"/>
        <v>3.4618857087112138</v>
      </c>
      <c r="AU152" s="4"/>
    </row>
    <row r="153" spans="1:60" x14ac:dyDescent="0.25">
      <c r="B153" s="4" t="s">
        <v>187</v>
      </c>
      <c r="C153" s="8">
        <v>205</v>
      </c>
      <c r="D153" s="4">
        <v>685</v>
      </c>
      <c r="E153" s="8">
        <v>610</v>
      </c>
      <c r="F153" s="4">
        <v>4320</v>
      </c>
      <c r="G153" s="8">
        <v>3558</v>
      </c>
      <c r="H153" s="4">
        <v>152</v>
      </c>
      <c r="I153" s="8">
        <v>152</v>
      </c>
      <c r="J153" s="4">
        <v>203</v>
      </c>
      <c r="K153" s="8">
        <v>203</v>
      </c>
      <c r="L153" s="4">
        <v>2136</v>
      </c>
      <c r="M153">
        <f t="shared" si="67"/>
        <v>1958.5</v>
      </c>
      <c r="N153" s="4">
        <v>5</v>
      </c>
      <c r="O153" s="4">
        <v>25</v>
      </c>
      <c r="P153" s="21">
        <f t="shared" si="68"/>
        <v>2454.3692606170257</v>
      </c>
      <c r="Q153" s="29">
        <f t="shared" si="83"/>
        <v>1.9627103243638751E-2</v>
      </c>
      <c r="R153" s="21">
        <v>455</v>
      </c>
      <c r="S153" s="41">
        <f t="shared" si="84"/>
        <v>3.5016393442622951</v>
      </c>
      <c r="T153" s="41">
        <f t="shared" si="85"/>
        <v>3.2106557377049181</v>
      </c>
      <c r="U153" s="57">
        <v>10</v>
      </c>
      <c r="V153" s="4">
        <v>28.7</v>
      </c>
      <c r="W153" s="8" t="s">
        <v>456</v>
      </c>
      <c r="X153" s="7">
        <f t="shared" si="69"/>
        <v>1</v>
      </c>
      <c r="Y153" s="4">
        <v>60</v>
      </c>
      <c r="Z153" s="8">
        <v>0.75</v>
      </c>
      <c r="AA153" s="8">
        <v>0.75</v>
      </c>
      <c r="AB153" s="66">
        <v>80</v>
      </c>
      <c r="AC153" s="8">
        <v>1100</v>
      </c>
      <c r="AD153" s="7">
        <f t="shared" si="70"/>
        <v>0.6</v>
      </c>
      <c r="AE153" s="68">
        <f t="shared" si="66"/>
        <v>348505.90219224285</v>
      </c>
      <c r="AF153" s="66">
        <v>872</v>
      </c>
      <c r="AG153" s="41">
        <f t="shared" si="81"/>
        <v>2.8368756822650365</v>
      </c>
      <c r="AH153" s="45">
        <f t="shared" si="71"/>
        <v>0.52954071338269237</v>
      </c>
      <c r="AI153" s="45">
        <f t="shared" si="72"/>
        <v>0.92657306703749875</v>
      </c>
      <c r="AJ153" s="68">
        <f t="shared" si="82"/>
        <v>348.50590219224284</v>
      </c>
      <c r="AK153" s="21">
        <f t="shared" si="73"/>
        <v>3.5106250000000001</v>
      </c>
      <c r="AL153" s="21">
        <f t="shared" si="65"/>
        <v>6.2454018749999989</v>
      </c>
      <c r="AM153" s="21">
        <f t="shared" si="86"/>
        <v>354.75130406724281</v>
      </c>
      <c r="AN153" s="41">
        <f t="shared" si="74"/>
        <v>2.8368756822650365</v>
      </c>
      <c r="AO153" s="41">
        <f t="shared" si="75"/>
        <v>0.52954071338269237</v>
      </c>
      <c r="AP153" s="41">
        <f t="shared" si="76"/>
        <v>0.92657306703749875</v>
      </c>
      <c r="AQ153" s="21">
        <f t="shared" si="77"/>
        <v>5.076769227187496</v>
      </c>
      <c r="AR153" s="21">
        <f t="shared" si="78"/>
        <v>744.40860708263074</v>
      </c>
      <c r="AS153" s="21">
        <f t="shared" si="79"/>
        <v>749.48537630981821</v>
      </c>
      <c r="AT153" s="41">
        <f t="shared" si="80"/>
        <v>3.4634532339722659</v>
      </c>
      <c r="AU153" s="4"/>
    </row>
    <row r="154" spans="1:60" x14ac:dyDescent="0.25">
      <c r="B154" s="4" t="s">
        <v>188</v>
      </c>
      <c r="C154" s="8">
        <v>205</v>
      </c>
      <c r="D154" s="4">
        <v>685</v>
      </c>
      <c r="E154" s="8">
        <v>610</v>
      </c>
      <c r="F154" s="4">
        <v>4320</v>
      </c>
      <c r="G154" s="8">
        <v>3558</v>
      </c>
      <c r="H154" s="4">
        <v>152</v>
      </c>
      <c r="I154" s="8">
        <v>152</v>
      </c>
      <c r="J154" s="4">
        <v>203</v>
      </c>
      <c r="K154" s="8">
        <v>203</v>
      </c>
      <c r="L154" s="4">
        <v>2136</v>
      </c>
      <c r="M154">
        <f t="shared" si="67"/>
        <v>1958.5</v>
      </c>
      <c r="N154" s="4">
        <v>5</v>
      </c>
      <c r="O154" s="4">
        <v>25</v>
      </c>
      <c r="P154" s="21">
        <f t="shared" si="68"/>
        <v>2454.3692606170257</v>
      </c>
      <c r="Q154" s="29">
        <f t="shared" si="83"/>
        <v>1.9627103243638751E-2</v>
      </c>
      <c r="R154" s="21">
        <v>455</v>
      </c>
      <c r="S154" s="41">
        <f t="shared" si="84"/>
        <v>3.5016393442622951</v>
      </c>
      <c r="T154" s="41">
        <f t="shared" si="85"/>
        <v>3.2106557377049181</v>
      </c>
      <c r="U154" s="57">
        <v>10</v>
      </c>
      <c r="V154" s="4">
        <v>28.7</v>
      </c>
      <c r="W154" s="8" t="s">
        <v>456</v>
      </c>
      <c r="X154" s="7">
        <f t="shared" si="69"/>
        <v>1</v>
      </c>
      <c r="Y154" s="4">
        <v>60</v>
      </c>
      <c r="Z154" s="8">
        <v>0.75</v>
      </c>
      <c r="AA154" s="8">
        <v>0.75</v>
      </c>
      <c r="AB154" s="66">
        <v>80</v>
      </c>
      <c r="AC154" s="8">
        <v>1100</v>
      </c>
      <c r="AD154" s="7">
        <f t="shared" si="70"/>
        <v>0.6</v>
      </c>
      <c r="AE154" s="68">
        <f t="shared" si="66"/>
        <v>341311.97301854973</v>
      </c>
      <c r="AF154" s="66">
        <v>854</v>
      </c>
      <c r="AG154" s="41">
        <f t="shared" si="81"/>
        <v>2.7793472602443003</v>
      </c>
      <c r="AH154" s="45">
        <f t="shared" si="71"/>
        <v>0.51880226550953135</v>
      </c>
      <c r="AI154" s="45">
        <f t="shared" si="72"/>
        <v>0.907783281229535</v>
      </c>
      <c r="AJ154" s="68">
        <f t="shared" si="82"/>
        <v>341.31197301854974</v>
      </c>
      <c r="AK154" s="21">
        <f t="shared" si="73"/>
        <v>3.5106250000000001</v>
      </c>
      <c r="AL154" s="21">
        <f t="shared" si="65"/>
        <v>6.2454018749999989</v>
      </c>
      <c r="AM154" s="21">
        <f t="shared" si="86"/>
        <v>347.55737489354976</v>
      </c>
      <c r="AN154" s="41">
        <f t="shared" si="74"/>
        <v>2.7793472602443003</v>
      </c>
      <c r="AO154" s="41">
        <f t="shared" si="75"/>
        <v>0.51880226550953135</v>
      </c>
      <c r="AP154" s="41">
        <f t="shared" si="76"/>
        <v>0.907783281229535</v>
      </c>
      <c r="AQ154" s="21">
        <f t="shared" si="77"/>
        <v>5.076769227187496</v>
      </c>
      <c r="AR154" s="21">
        <f t="shared" si="78"/>
        <v>729.04237436762219</v>
      </c>
      <c r="AS154" s="21">
        <f t="shared" si="79"/>
        <v>734.11914359480966</v>
      </c>
      <c r="AT154" s="41">
        <f t="shared" si="80"/>
        <v>3.4626628373566573</v>
      </c>
      <c r="AU154" s="4"/>
    </row>
    <row r="155" spans="1:60" x14ac:dyDescent="0.25">
      <c r="B155" s="4" t="s">
        <v>189</v>
      </c>
      <c r="C155" s="8">
        <v>205</v>
      </c>
      <c r="D155" s="4">
        <v>685</v>
      </c>
      <c r="E155" s="8">
        <v>610</v>
      </c>
      <c r="F155" s="4">
        <v>4320</v>
      </c>
      <c r="G155" s="8">
        <v>3558</v>
      </c>
      <c r="H155" s="4">
        <v>152</v>
      </c>
      <c r="I155" s="8">
        <v>152</v>
      </c>
      <c r="J155" s="4">
        <v>203</v>
      </c>
      <c r="K155" s="8">
        <v>203</v>
      </c>
      <c r="L155" s="4">
        <v>2136</v>
      </c>
      <c r="M155">
        <f t="shared" si="67"/>
        <v>1958.5</v>
      </c>
      <c r="N155" s="4">
        <v>5</v>
      </c>
      <c r="O155" s="4">
        <v>22</v>
      </c>
      <c r="P155" s="21">
        <f t="shared" si="68"/>
        <v>1900.6635554218249</v>
      </c>
      <c r="Q155" s="29">
        <f t="shared" si="83"/>
        <v>1.519922875187385E-2</v>
      </c>
      <c r="R155" s="21">
        <v>448</v>
      </c>
      <c r="S155" s="41">
        <f t="shared" si="84"/>
        <v>3.5016393442622951</v>
      </c>
      <c r="T155" s="41">
        <f t="shared" si="85"/>
        <v>3.2106557377049181</v>
      </c>
      <c r="U155" s="57">
        <v>10</v>
      </c>
      <c r="V155" s="4">
        <v>42.3</v>
      </c>
      <c r="W155" s="8" t="s">
        <v>456</v>
      </c>
      <c r="X155" s="7">
        <f t="shared" si="69"/>
        <v>1</v>
      </c>
      <c r="Y155" s="4">
        <v>30</v>
      </c>
      <c r="Z155" s="8">
        <v>0.75</v>
      </c>
      <c r="AA155" s="8">
        <v>0.54</v>
      </c>
      <c r="AB155" s="66">
        <v>55</v>
      </c>
      <c r="AC155" s="8">
        <v>1100</v>
      </c>
      <c r="AD155" s="7">
        <f t="shared" si="70"/>
        <v>0.41249999999999998</v>
      </c>
      <c r="AE155" s="68">
        <f t="shared" si="66"/>
        <v>344908.93760539626</v>
      </c>
      <c r="AF155" s="66">
        <v>863</v>
      </c>
      <c r="AG155" s="41">
        <f t="shared" si="81"/>
        <v>2.8081114712546684</v>
      </c>
      <c r="AH155" s="45">
        <f t="shared" si="71"/>
        <v>0.43176174464272321</v>
      </c>
      <c r="AI155" s="45">
        <f t="shared" si="72"/>
        <v>0.80593661669698091</v>
      </c>
      <c r="AJ155" s="68">
        <f t="shared" si="82"/>
        <v>344.90893760539626</v>
      </c>
      <c r="AK155" s="21">
        <f t="shared" si="73"/>
        <v>3.5106250000000001</v>
      </c>
      <c r="AL155" s="21">
        <f t="shared" si="65"/>
        <v>6.2454018749999989</v>
      </c>
      <c r="AM155" s="21">
        <f t="shared" si="86"/>
        <v>351.15433948039629</v>
      </c>
      <c r="AN155" s="41">
        <f t="shared" si="74"/>
        <v>2.8081114712546684</v>
      </c>
      <c r="AO155" s="41">
        <f t="shared" si="75"/>
        <v>0.43176174464272321</v>
      </c>
      <c r="AP155" s="41">
        <f t="shared" si="76"/>
        <v>0.80593661669698091</v>
      </c>
      <c r="AQ155" s="21">
        <f t="shared" si="77"/>
        <v>5.076769227187496</v>
      </c>
      <c r="AR155" s="21">
        <f t="shared" si="78"/>
        <v>736.72549072512652</v>
      </c>
      <c r="AS155" s="21">
        <f t="shared" si="79"/>
        <v>741.80225995231399</v>
      </c>
      <c r="AT155" s="41">
        <f t="shared" si="80"/>
        <v>3.4630620837827912</v>
      </c>
      <c r="AU155" s="4"/>
    </row>
    <row r="156" spans="1:60" x14ac:dyDescent="0.25">
      <c r="B156" s="4" t="s">
        <v>190</v>
      </c>
      <c r="C156" s="8">
        <v>205</v>
      </c>
      <c r="D156" s="4">
        <v>685</v>
      </c>
      <c r="E156" s="8">
        <v>610</v>
      </c>
      <c r="F156" s="4">
        <v>4320</v>
      </c>
      <c r="G156" s="8">
        <v>3558</v>
      </c>
      <c r="H156" s="4">
        <v>152</v>
      </c>
      <c r="I156" s="8">
        <v>152</v>
      </c>
      <c r="J156" s="4">
        <v>203</v>
      </c>
      <c r="K156" s="8">
        <v>203</v>
      </c>
      <c r="L156" s="4">
        <v>2136</v>
      </c>
      <c r="M156">
        <f t="shared" si="67"/>
        <v>1958.5</v>
      </c>
      <c r="N156" s="4">
        <v>5</v>
      </c>
      <c r="O156" s="4">
        <v>22</v>
      </c>
      <c r="P156" s="21">
        <f t="shared" si="68"/>
        <v>1900.6635554218249</v>
      </c>
      <c r="Q156" s="29">
        <f t="shared" si="83"/>
        <v>1.519922875187385E-2</v>
      </c>
      <c r="R156" s="21">
        <v>448</v>
      </c>
      <c r="S156" s="41">
        <f t="shared" si="84"/>
        <v>3.5016393442622951</v>
      </c>
      <c r="T156" s="41">
        <f t="shared" si="85"/>
        <v>3.2106557377049181</v>
      </c>
      <c r="U156" s="57">
        <v>10</v>
      </c>
      <c r="V156" s="4">
        <v>29.6</v>
      </c>
      <c r="W156" s="8" t="s">
        <v>456</v>
      </c>
      <c r="X156" s="7">
        <f t="shared" si="69"/>
        <v>1</v>
      </c>
      <c r="Y156" s="4">
        <v>60</v>
      </c>
      <c r="Z156" s="8">
        <v>0.75</v>
      </c>
      <c r="AA156" s="8">
        <v>0.75</v>
      </c>
      <c r="AB156" s="66">
        <v>80</v>
      </c>
      <c r="AC156" s="8">
        <v>1100</v>
      </c>
      <c r="AD156" s="7">
        <f t="shared" si="70"/>
        <v>0.6</v>
      </c>
      <c r="AE156" s="68">
        <f t="shared" si="66"/>
        <v>264976.39123102865</v>
      </c>
      <c r="AF156" s="66">
        <v>663</v>
      </c>
      <c r="AG156" s="41">
        <f t="shared" si="81"/>
        <v>2.1689067821353745</v>
      </c>
      <c r="AH156" s="45">
        <f t="shared" si="71"/>
        <v>0.39865299504608903</v>
      </c>
      <c r="AI156" s="45">
        <f t="shared" si="72"/>
        <v>0.70114899591240598</v>
      </c>
      <c r="AJ156" s="68">
        <f t="shared" si="82"/>
        <v>264.97639123102863</v>
      </c>
      <c r="AK156" s="21">
        <f t="shared" si="73"/>
        <v>3.5106250000000001</v>
      </c>
      <c r="AL156" s="21">
        <f t="shared" si="65"/>
        <v>6.2454018749999989</v>
      </c>
      <c r="AM156" s="21">
        <f t="shared" si="86"/>
        <v>271.2217931060286</v>
      </c>
      <c r="AN156" s="41">
        <f t="shared" si="74"/>
        <v>2.1689067821353745</v>
      </c>
      <c r="AO156" s="41">
        <f t="shared" si="75"/>
        <v>0.39865299504608903</v>
      </c>
      <c r="AP156" s="41">
        <f t="shared" si="76"/>
        <v>0.70114899591240598</v>
      </c>
      <c r="AQ156" s="21">
        <f t="shared" si="77"/>
        <v>5.076769227187496</v>
      </c>
      <c r="AR156" s="21">
        <f t="shared" si="78"/>
        <v>565.98957166947719</v>
      </c>
      <c r="AS156" s="21">
        <f t="shared" si="79"/>
        <v>571.06634089666466</v>
      </c>
      <c r="AT156" s="41">
        <f t="shared" si="80"/>
        <v>3.4516928695800502</v>
      </c>
      <c r="AU156" s="4"/>
    </row>
    <row r="157" spans="1:60" x14ac:dyDescent="0.25">
      <c r="B157" s="4" t="s">
        <v>191</v>
      </c>
      <c r="C157" s="8">
        <v>205</v>
      </c>
      <c r="D157" s="4">
        <v>685</v>
      </c>
      <c r="E157" s="8">
        <v>610</v>
      </c>
      <c r="F157" s="4">
        <v>4320</v>
      </c>
      <c r="G157" s="8">
        <v>3558</v>
      </c>
      <c r="H157" s="4">
        <v>152</v>
      </c>
      <c r="I157" s="8">
        <v>152</v>
      </c>
      <c r="J157" s="4">
        <v>203</v>
      </c>
      <c r="K157" s="8">
        <v>203</v>
      </c>
      <c r="L157" s="4">
        <v>2136</v>
      </c>
      <c r="M157">
        <f t="shared" si="67"/>
        <v>1958.5</v>
      </c>
      <c r="N157" s="4">
        <v>5</v>
      </c>
      <c r="O157" s="4">
        <v>22</v>
      </c>
      <c r="P157" s="21">
        <f t="shared" si="68"/>
        <v>1900.6635554218249</v>
      </c>
      <c r="Q157" s="29">
        <f t="shared" si="83"/>
        <v>1.519922875187385E-2</v>
      </c>
      <c r="R157" s="21">
        <v>448</v>
      </c>
      <c r="S157" s="41">
        <f t="shared" si="84"/>
        <v>3.5016393442622951</v>
      </c>
      <c r="T157" s="41">
        <f t="shared" si="85"/>
        <v>3.2106557377049181</v>
      </c>
      <c r="U157" s="57">
        <v>10</v>
      </c>
      <c r="V157" s="4">
        <v>29.6</v>
      </c>
      <c r="W157" s="8" t="s">
        <v>456</v>
      </c>
      <c r="X157" s="7">
        <f t="shared" si="69"/>
        <v>1</v>
      </c>
      <c r="Y157" s="4">
        <v>60</v>
      </c>
      <c r="Z157" s="8">
        <v>0.75</v>
      </c>
      <c r="AA157" s="8">
        <v>0.75</v>
      </c>
      <c r="AB157" s="66">
        <v>80</v>
      </c>
      <c r="AC157" s="8">
        <v>1100</v>
      </c>
      <c r="AD157" s="7">
        <f t="shared" si="70"/>
        <v>0.6</v>
      </c>
      <c r="AE157" s="68">
        <f t="shared" si="66"/>
        <v>222212.47892074197</v>
      </c>
      <c r="AF157" s="66">
        <v>556</v>
      </c>
      <c r="AG157" s="41">
        <f t="shared" si="81"/>
        <v>1.826932273456553</v>
      </c>
      <c r="AH157" s="45">
        <f t="shared" si="71"/>
        <v>0.33579683025508517</v>
      </c>
      <c r="AI157" s="45">
        <f t="shared" si="72"/>
        <v>0.59059787155669441</v>
      </c>
      <c r="AJ157" s="68">
        <f t="shared" si="82"/>
        <v>222.21247892074197</v>
      </c>
      <c r="AK157" s="21">
        <f t="shared" si="73"/>
        <v>3.5106250000000001</v>
      </c>
      <c r="AL157" s="21">
        <f t="shared" si="65"/>
        <v>6.2454018749999989</v>
      </c>
      <c r="AM157" s="21">
        <f t="shared" si="86"/>
        <v>228.45788079574197</v>
      </c>
      <c r="AN157" s="41">
        <f t="shared" si="74"/>
        <v>1.8269322734565532</v>
      </c>
      <c r="AO157" s="41">
        <f t="shared" si="75"/>
        <v>0.33579683025508522</v>
      </c>
      <c r="AP157" s="41">
        <f t="shared" si="76"/>
        <v>0.59059787155669441</v>
      </c>
      <c r="AQ157" s="21">
        <f t="shared" si="77"/>
        <v>5.076769227187496</v>
      </c>
      <c r="AR157" s="21">
        <f t="shared" si="78"/>
        <v>474.64585497470483</v>
      </c>
      <c r="AS157" s="21">
        <f t="shared" si="79"/>
        <v>479.7226242018923</v>
      </c>
      <c r="AT157" s="41">
        <f t="shared" si="80"/>
        <v>3.4423436334929423</v>
      </c>
      <c r="AU157" s="4"/>
    </row>
    <row r="158" spans="1:60" x14ac:dyDescent="0.25">
      <c r="B158" s="4" t="s">
        <v>192</v>
      </c>
      <c r="C158" s="8">
        <v>205</v>
      </c>
      <c r="D158" s="4">
        <v>685</v>
      </c>
      <c r="E158" s="8">
        <v>610</v>
      </c>
      <c r="F158" s="4">
        <v>4320</v>
      </c>
      <c r="G158" s="8">
        <v>3558</v>
      </c>
      <c r="H158" s="4">
        <v>152</v>
      </c>
      <c r="I158" s="8">
        <v>152</v>
      </c>
      <c r="J158" s="4">
        <v>203</v>
      </c>
      <c r="K158" s="8">
        <v>203</v>
      </c>
      <c r="L158" s="4">
        <v>2136</v>
      </c>
      <c r="M158">
        <f t="shared" si="67"/>
        <v>1958.5</v>
      </c>
      <c r="N158" s="4">
        <v>5</v>
      </c>
      <c r="O158" s="4">
        <v>25</v>
      </c>
      <c r="P158" s="21">
        <f t="shared" si="68"/>
        <v>2454.3692606170257</v>
      </c>
      <c r="Q158" s="29">
        <f t="shared" si="83"/>
        <v>1.9627103243638751E-2</v>
      </c>
      <c r="R158" s="21">
        <v>455</v>
      </c>
      <c r="S158" s="41">
        <f t="shared" si="84"/>
        <v>3.5016393442622951</v>
      </c>
      <c r="T158" s="41">
        <f t="shared" si="85"/>
        <v>3.2106557377049181</v>
      </c>
      <c r="U158" s="57">
        <v>10</v>
      </c>
      <c r="V158" s="4">
        <v>44.4</v>
      </c>
      <c r="W158" s="8" t="s">
        <v>456</v>
      </c>
      <c r="X158" s="7">
        <f t="shared" si="69"/>
        <v>1</v>
      </c>
      <c r="Y158" s="4">
        <v>30</v>
      </c>
      <c r="Z158" s="8">
        <v>1.5</v>
      </c>
      <c r="AA158" s="8">
        <v>0.54</v>
      </c>
      <c r="AB158" s="66">
        <v>55</v>
      </c>
      <c r="AC158" s="8">
        <v>1100</v>
      </c>
      <c r="AD158" s="7">
        <f t="shared" si="70"/>
        <v>0.82499999999999996</v>
      </c>
      <c r="AE158" s="68">
        <f t="shared" si="66"/>
        <v>432035.41315345699</v>
      </c>
      <c r="AF158" s="66">
        <v>1081</v>
      </c>
      <c r="AG158" s="41">
        <f t="shared" si="81"/>
        <v>3.5048445823946985</v>
      </c>
      <c r="AH158" s="45">
        <f t="shared" si="71"/>
        <v>0.52598974801482568</v>
      </c>
      <c r="AI158" s="45">
        <f t="shared" si="72"/>
        <v>0.98978554685149578</v>
      </c>
      <c r="AJ158" s="68">
        <f t="shared" si="82"/>
        <v>432.035413153457</v>
      </c>
      <c r="AK158" s="21">
        <f t="shared" si="73"/>
        <v>3.5106250000000001</v>
      </c>
      <c r="AL158" s="21">
        <f t="shared" si="65"/>
        <v>6.2454018749999989</v>
      </c>
      <c r="AM158" s="21">
        <f t="shared" si="86"/>
        <v>438.28081502845703</v>
      </c>
      <c r="AN158" s="41">
        <f t="shared" si="74"/>
        <v>3.5048445823946985</v>
      </c>
      <c r="AO158" s="41">
        <f t="shared" si="75"/>
        <v>0.52598974801482568</v>
      </c>
      <c r="AP158" s="41">
        <f t="shared" si="76"/>
        <v>0.98978554685149578</v>
      </c>
      <c r="AQ158" s="21">
        <f t="shared" si="77"/>
        <v>5.076769227187496</v>
      </c>
      <c r="AR158" s="21">
        <f t="shared" si="78"/>
        <v>922.82764249578418</v>
      </c>
      <c r="AS158" s="21">
        <f t="shared" si="79"/>
        <v>927.90441172297164</v>
      </c>
      <c r="AT158" s="41">
        <f t="shared" si="80"/>
        <v>3.4707309130507578</v>
      </c>
      <c r="AU158" s="4"/>
    </row>
    <row r="159" spans="1:60" x14ac:dyDescent="0.25">
      <c r="A159" s="1"/>
      <c r="B159" s="10" t="s">
        <v>193</v>
      </c>
      <c r="C159" s="9">
        <v>205</v>
      </c>
      <c r="D159" s="10">
        <v>685</v>
      </c>
      <c r="E159" s="9">
        <v>610</v>
      </c>
      <c r="F159" s="10">
        <v>4320</v>
      </c>
      <c r="G159" s="9">
        <v>3558</v>
      </c>
      <c r="H159" s="10">
        <v>152</v>
      </c>
      <c r="I159" s="9">
        <v>152</v>
      </c>
      <c r="J159" s="10">
        <v>203</v>
      </c>
      <c r="K159" s="9">
        <v>203</v>
      </c>
      <c r="L159" s="10">
        <v>2136</v>
      </c>
      <c r="M159" s="1">
        <f t="shared" si="67"/>
        <v>1958.5</v>
      </c>
      <c r="N159" s="10">
        <v>5</v>
      </c>
      <c r="O159" s="10">
        <v>25</v>
      </c>
      <c r="P159" s="27">
        <f t="shared" si="68"/>
        <v>2454.3692606170257</v>
      </c>
      <c r="Q159" s="36">
        <f t="shared" si="83"/>
        <v>1.9627103243638751E-2</v>
      </c>
      <c r="R159" s="27">
        <v>455</v>
      </c>
      <c r="S159" s="48">
        <f t="shared" si="84"/>
        <v>3.5016393442622951</v>
      </c>
      <c r="T159" s="48">
        <f t="shared" si="85"/>
        <v>3.2106557377049181</v>
      </c>
      <c r="U159" s="58">
        <v>10</v>
      </c>
      <c r="V159" s="10">
        <v>42.8</v>
      </c>
      <c r="W159" s="9" t="s">
        <v>456</v>
      </c>
      <c r="X159" s="7">
        <f t="shared" si="69"/>
        <v>1</v>
      </c>
      <c r="Y159" s="10">
        <v>60</v>
      </c>
      <c r="Z159" s="9">
        <v>1.5</v>
      </c>
      <c r="AA159" s="9">
        <v>0.75</v>
      </c>
      <c r="AB159" s="67">
        <v>80</v>
      </c>
      <c r="AC159" s="9">
        <v>1100</v>
      </c>
      <c r="AD159" s="7">
        <f t="shared" si="70"/>
        <v>1.2</v>
      </c>
      <c r="AE159" s="69">
        <f t="shared" si="66"/>
        <v>418047.21753794263</v>
      </c>
      <c r="AF159" s="67">
        <v>1046</v>
      </c>
      <c r="AG159" s="41">
        <f t="shared" si="81"/>
        <v>3.392983761798821</v>
      </c>
      <c r="AH159" s="45">
        <f t="shared" si="71"/>
        <v>0.51863270113600435</v>
      </c>
      <c r="AI159" s="45">
        <f t="shared" si="72"/>
        <v>0.96998985380599045</v>
      </c>
      <c r="AJ159" s="69">
        <f t="shared" si="82"/>
        <v>418.04721753794263</v>
      </c>
      <c r="AK159" s="21">
        <f t="shared" si="73"/>
        <v>3.5106250000000001</v>
      </c>
      <c r="AL159" s="27">
        <f t="shared" si="65"/>
        <v>6.2454018749999989</v>
      </c>
      <c r="AM159" s="27">
        <f t="shared" si="86"/>
        <v>424.2926194129426</v>
      </c>
      <c r="AN159" s="41">
        <f t="shared" si="74"/>
        <v>3.3929837617988214</v>
      </c>
      <c r="AO159" s="41">
        <f t="shared" si="75"/>
        <v>0.51863270113600446</v>
      </c>
      <c r="AP159" s="41">
        <f t="shared" si="76"/>
        <v>0.96998985380599057</v>
      </c>
      <c r="AQ159" s="21">
        <f t="shared" si="77"/>
        <v>5.076769227187496</v>
      </c>
      <c r="AR159" s="21">
        <f t="shared" si="78"/>
        <v>892.94885666104551</v>
      </c>
      <c r="AS159" s="21">
        <f t="shared" si="79"/>
        <v>898.02562588823298</v>
      </c>
      <c r="AT159" s="41">
        <f t="shared" si="80"/>
        <v>3.4697119154010854</v>
      </c>
      <c r="AU159" s="10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</row>
    <row r="160" spans="1:60" x14ac:dyDescent="0.25">
      <c r="A160" t="s">
        <v>16</v>
      </c>
      <c r="B160" s="4" t="s">
        <v>194</v>
      </c>
      <c r="C160" s="8">
        <v>150</v>
      </c>
      <c r="D160" s="4">
        <v>390</v>
      </c>
      <c r="E160" s="8">
        <v>340</v>
      </c>
      <c r="F160" s="4">
        <v>2600</v>
      </c>
      <c r="G160" s="8">
        <v>2200</v>
      </c>
      <c r="H160" s="4">
        <v>100</v>
      </c>
      <c r="I160" s="8">
        <v>150</v>
      </c>
      <c r="J160" s="4">
        <v>100</v>
      </c>
      <c r="K160" s="8">
        <v>150</v>
      </c>
      <c r="L160" s="4">
        <v>850</v>
      </c>
      <c r="M160" s="4">
        <f>L160-J160/2-H160/2</f>
        <v>750</v>
      </c>
      <c r="N160" s="4">
        <v>5</v>
      </c>
      <c r="O160" s="4">
        <v>20</v>
      </c>
      <c r="P160" s="21">
        <f t="shared" si="68"/>
        <v>1570.7963267948965</v>
      </c>
      <c r="Q160" s="29">
        <f t="shared" si="83"/>
        <v>3.079992797637052E-2</v>
      </c>
      <c r="R160" s="21">
        <v>570</v>
      </c>
      <c r="S160" s="49">
        <f t="shared" si="84"/>
        <v>2.5</v>
      </c>
      <c r="T160" s="49">
        <f t="shared" si="85"/>
        <v>2.2058823529411766</v>
      </c>
      <c r="U160" s="57">
        <v>12.5</v>
      </c>
      <c r="V160" s="4">
        <v>58.87</v>
      </c>
      <c r="W160" s="8" t="s">
        <v>456</v>
      </c>
      <c r="X160" s="7">
        <f t="shared" si="69"/>
        <v>1</v>
      </c>
      <c r="Y160" s="4">
        <v>35</v>
      </c>
      <c r="Z160" s="8">
        <v>1</v>
      </c>
      <c r="AA160" s="8">
        <v>0.54</v>
      </c>
      <c r="AB160" s="66">
        <v>65</v>
      </c>
      <c r="AC160" s="8">
        <v>1150</v>
      </c>
      <c r="AD160" s="7">
        <f t="shared" si="70"/>
        <v>0.65</v>
      </c>
      <c r="AE160" s="21">
        <f t="shared" si="66"/>
        <v>260000</v>
      </c>
      <c r="AF160" s="21">
        <f>AJ160*2</f>
        <v>520</v>
      </c>
      <c r="AG160" s="49">
        <f t="shared" si="81"/>
        <v>5.1295833333333336</v>
      </c>
      <c r="AH160" s="45">
        <f t="shared" si="71"/>
        <v>0.66855181425525811</v>
      </c>
      <c r="AI160" s="45">
        <f t="shared" si="72"/>
        <v>1.3186131758701394</v>
      </c>
      <c r="AJ160" s="21">
        <v>260</v>
      </c>
      <c r="AK160" s="21">
        <f t="shared" si="73"/>
        <v>1.4624999999999999</v>
      </c>
      <c r="AL160" s="68">
        <f t="shared" si="65"/>
        <v>1.6087499999999997</v>
      </c>
      <c r="AM160" s="21">
        <f t="shared" si="86"/>
        <v>261.60874999999999</v>
      </c>
      <c r="AN160" s="41">
        <f t="shared" si="74"/>
        <v>5.1295833333333336</v>
      </c>
      <c r="AO160" s="41">
        <f t="shared" si="75"/>
        <v>0.66855181425525811</v>
      </c>
      <c r="AP160" s="41">
        <f t="shared" si="76"/>
        <v>1.3186131758701394</v>
      </c>
      <c r="AQ160" s="21">
        <f t="shared" si="77"/>
        <v>0.80985937499999971</v>
      </c>
      <c r="AR160" s="21">
        <f t="shared" si="78"/>
        <v>221</v>
      </c>
      <c r="AS160" s="21">
        <f t="shared" si="79"/>
        <v>221.809859375</v>
      </c>
      <c r="AT160" s="41">
        <f t="shared" si="80"/>
        <v>2.4937313424655532</v>
      </c>
      <c r="AZ160" s="4"/>
    </row>
    <row r="161" spans="1:60" x14ac:dyDescent="0.25">
      <c r="A161" s="1">
        <v>2014</v>
      </c>
      <c r="B161" s="10" t="s">
        <v>195</v>
      </c>
      <c r="C161" s="9">
        <v>150</v>
      </c>
      <c r="D161" s="10">
        <v>390</v>
      </c>
      <c r="E161" s="9">
        <v>340</v>
      </c>
      <c r="F161" s="10">
        <v>2600</v>
      </c>
      <c r="G161" s="9">
        <v>2200</v>
      </c>
      <c r="H161" s="10">
        <v>100</v>
      </c>
      <c r="I161" s="9">
        <v>150</v>
      </c>
      <c r="J161" s="10">
        <v>100</v>
      </c>
      <c r="K161" s="9">
        <v>150</v>
      </c>
      <c r="L161" s="10">
        <v>850</v>
      </c>
      <c r="M161" s="10">
        <f>L161-J161/2-H161/2</f>
        <v>750</v>
      </c>
      <c r="N161" s="10">
        <v>5</v>
      </c>
      <c r="O161" s="10">
        <v>20</v>
      </c>
      <c r="P161" s="27">
        <f t="shared" si="68"/>
        <v>1570.7963267948965</v>
      </c>
      <c r="Q161" s="36">
        <f t="shared" si="83"/>
        <v>3.079992797637052E-2</v>
      </c>
      <c r="R161" s="27">
        <v>570</v>
      </c>
      <c r="S161" s="50">
        <f t="shared" si="84"/>
        <v>2.5</v>
      </c>
      <c r="T161" s="50">
        <f t="shared" si="85"/>
        <v>2.2058823529411766</v>
      </c>
      <c r="U161" s="58">
        <v>12.5</v>
      </c>
      <c r="V161" s="10">
        <v>51.67</v>
      </c>
      <c r="W161" s="9" t="s">
        <v>456</v>
      </c>
      <c r="X161" s="7">
        <f t="shared" si="69"/>
        <v>1</v>
      </c>
      <c r="Y161" s="10">
        <v>35</v>
      </c>
      <c r="Z161" s="9">
        <v>2</v>
      </c>
      <c r="AA161" s="9">
        <v>0.54</v>
      </c>
      <c r="AB161" s="67">
        <v>65</v>
      </c>
      <c r="AC161" s="9">
        <v>1150</v>
      </c>
      <c r="AD161" s="7">
        <f t="shared" si="70"/>
        <v>1.3</v>
      </c>
      <c r="AE161" s="27">
        <f t="shared" si="66"/>
        <v>290500</v>
      </c>
      <c r="AF161" s="27">
        <f>AJ161*2</f>
        <v>581</v>
      </c>
      <c r="AG161" s="49">
        <f t="shared" si="81"/>
        <v>5.7276225490196078</v>
      </c>
      <c r="AH161" s="45">
        <f t="shared" si="71"/>
        <v>0.79681070370749096</v>
      </c>
      <c r="AI161" s="45">
        <f t="shared" si="72"/>
        <v>1.53778245995287</v>
      </c>
      <c r="AJ161" s="27">
        <v>290.5</v>
      </c>
      <c r="AK161" s="21">
        <f t="shared" si="73"/>
        <v>1.4624999999999999</v>
      </c>
      <c r="AL161" s="69">
        <f t="shared" si="65"/>
        <v>1.6087499999999997</v>
      </c>
      <c r="AM161" s="27">
        <f t="shared" si="86"/>
        <v>292.10874999999999</v>
      </c>
      <c r="AN161" s="41">
        <f t="shared" si="74"/>
        <v>5.7276225490196078</v>
      </c>
      <c r="AO161" s="41">
        <f t="shared" si="75"/>
        <v>0.79681070370749096</v>
      </c>
      <c r="AP161" s="41">
        <f t="shared" si="76"/>
        <v>1.53778245995287</v>
      </c>
      <c r="AQ161" s="21">
        <f t="shared" si="77"/>
        <v>0.80985937499999971</v>
      </c>
      <c r="AR161" s="21">
        <f t="shared" si="78"/>
        <v>246.92500000000001</v>
      </c>
      <c r="AS161" s="21">
        <f t="shared" si="79"/>
        <v>247.73485937500001</v>
      </c>
      <c r="AT161" s="41">
        <f t="shared" si="80"/>
        <v>2.4943858728580897</v>
      </c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</row>
    <row r="162" spans="1:60" x14ac:dyDescent="0.25">
      <c r="A162" t="s">
        <v>17</v>
      </c>
      <c r="B162" s="4" t="s">
        <v>196</v>
      </c>
      <c r="C162" s="8">
        <v>150</v>
      </c>
      <c r="D162" s="4">
        <v>800</v>
      </c>
      <c r="E162" s="8">
        <v>735</v>
      </c>
      <c r="F162" s="4">
        <v>6200</v>
      </c>
      <c r="G162" s="8">
        <v>5600</v>
      </c>
      <c r="H162" s="4">
        <v>100</v>
      </c>
      <c r="I162" s="8">
        <v>150</v>
      </c>
      <c r="J162" s="4">
        <v>100</v>
      </c>
      <c r="K162" s="8">
        <v>150</v>
      </c>
      <c r="L162">
        <f>G162/2</f>
        <v>2800</v>
      </c>
      <c r="M162">
        <f t="shared" ref="M162:M225" si="87">L162-J162/2-H162/2</f>
        <v>2700</v>
      </c>
      <c r="N162" s="4">
        <v>8</v>
      </c>
      <c r="O162" s="4">
        <v>40</v>
      </c>
      <c r="P162" s="21">
        <f t="shared" si="68"/>
        <v>10053.096491487338</v>
      </c>
      <c r="Q162" s="29">
        <f>P162/950000</f>
        <v>1.0582206833144567E-2</v>
      </c>
      <c r="R162" s="21">
        <v>600</v>
      </c>
      <c r="S162" s="41">
        <f t="shared" si="84"/>
        <v>3.8095238095238093</v>
      </c>
      <c r="T162" s="41">
        <f t="shared" si="85"/>
        <v>3.6734693877551021</v>
      </c>
      <c r="U162" s="57">
        <v>12.5</v>
      </c>
      <c r="V162" s="4">
        <v>42</v>
      </c>
      <c r="W162" s="8" t="s">
        <v>456</v>
      </c>
      <c r="X162" s="7">
        <f t="shared" si="69"/>
        <v>1</v>
      </c>
      <c r="Y162" s="4">
        <v>60</v>
      </c>
      <c r="Z162" s="8">
        <v>1.25</v>
      </c>
      <c r="AA162" s="8">
        <v>0.8</v>
      </c>
      <c r="AB162" s="21">
        <f>Y162/AA162</f>
        <v>75</v>
      </c>
      <c r="AC162" s="8">
        <v>1200</v>
      </c>
      <c r="AD162" s="7">
        <f t="shared" si="70"/>
        <v>0.9375</v>
      </c>
      <c r="AE162" s="21">
        <f t="shared" si="66"/>
        <v>351515.15151515149</v>
      </c>
      <c r="AF162" s="66">
        <v>400</v>
      </c>
      <c r="AG162" s="41">
        <f t="shared" si="81"/>
        <v>3.2645365216793785</v>
      </c>
      <c r="AH162" s="45">
        <f t="shared" si="71"/>
        <v>0.50372892136872338</v>
      </c>
      <c r="AI162" s="45">
        <f t="shared" si="72"/>
        <v>0.93915750803631137</v>
      </c>
      <c r="AJ162" s="21">
        <f>2.9/3.3*AF162</f>
        <v>351.5151515151515</v>
      </c>
      <c r="AK162" s="21">
        <f t="shared" si="73"/>
        <v>3</v>
      </c>
      <c r="AL162" s="68">
        <f t="shared" si="65"/>
        <v>8.4</v>
      </c>
      <c r="AM162" s="21">
        <f t="shared" si="86"/>
        <v>359.91515151515148</v>
      </c>
      <c r="AN162" s="41">
        <f t="shared" si="74"/>
        <v>3.2645365216793785</v>
      </c>
      <c r="AO162" s="41">
        <f t="shared" si="75"/>
        <v>0.50372892136872338</v>
      </c>
      <c r="AP162" s="41">
        <f t="shared" si="76"/>
        <v>0.93915750803631137</v>
      </c>
      <c r="AQ162" s="21">
        <f t="shared" si="77"/>
        <v>11.625000000000007</v>
      </c>
      <c r="AR162" s="21">
        <f t="shared" si="78"/>
        <v>984.24242424242425</v>
      </c>
      <c r="AS162" s="21">
        <f t="shared" si="79"/>
        <v>995.86742424242425</v>
      </c>
      <c r="AT162" s="41">
        <f t="shared" si="80"/>
        <v>3.7645585631282117</v>
      </c>
      <c r="AU162" s="4"/>
      <c r="AZ162" s="4"/>
    </row>
    <row r="163" spans="1:60" x14ac:dyDescent="0.25">
      <c r="A163">
        <v>1997</v>
      </c>
      <c r="B163" s="4" t="s">
        <v>197</v>
      </c>
      <c r="C163" s="8">
        <v>150</v>
      </c>
      <c r="D163" s="4">
        <v>800</v>
      </c>
      <c r="E163" s="8">
        <v>735</v>
      </c>
      <c r="F163" s="4">
        <v>6200</v>
      </c>
      <c r="G163" s="8">
        <v>5600</v>
      </c>
      <c r="H163" s="4">
        <v>100</v>
      </c>
      <c r="I163" s="8">
        <v>150</v>
      </c>
      <c r="J163" s="4">
        <v>100</v>
      </c>
      <c r="K163" s="8">
        <v>150</v>
      </c>
      <c r="L163">
        <f>G163/2</f>
        <v>2800</v>
      </c>
      <c r="M163">
        <f t="shared" si="87"/>
        <v>2700</v>
      </c>
      <c r="N163" s="4">
        <v>8</v>
      </c>
      <c r="O163" s="4">
        <v>40</v>
      </c>
      <c r="P163" s="21">
        <f t="shared" si="68"/>
        <v>10053.096491487338</v>
      </c>
      <c r="Q163" s="29">
        <f>P163/950000</f>
        <v>1.0582206833144567E-2</v>
      </c>
      <c r="R163" s="21">
        <v>600</v>
      </c>
      <c r="S163" s="41">
        <f t="shared" si="84"/>
        <v>3.8095238095238093</v>
      </c>
      <c r="T163" s="41">
        <f t="shared" si="85"/>
        <v>3.6734693877551021</v>
      </c>
      <c r="U163" s="57">
        <v>12.5</v>
      </c>
      <c r="V163" s="4">
        <v>38</v>
      </c>
      <c r="W163" s="8" t="s">
        <v>456</v>
      </c>
      <c r="X163" s="7">
        <f t="shared" si="69"/>
        <v>1</v>
      </c>
      <c r="Y163" s="4">
        <v>30</v>
      </c>
      <c r="Z163" s="8">
        <v>1.25</v>
      </c>
      <c r="AA163" s="8">
        <v>0.5</v>
      </c>
      <c r="AB163" s="21">
        <f>Y163/AA163</f>
        <v>60</v>
      </c>
      <c r="AC163" s="8">
        <v>1200</v>
      </c>
      <c r="AD163" s="7">
        <f t="shared" si="70"/>
        <v>0.75</v>
      </c>
      <c r="AE163" s="21">
        <f t="shared" si="66"/>
        <v>351515.15151515149</v>
      </c>
      <c r="AF163" s="66">
        <v>400</v>
      </c>
      <c r="AG163" s="41">
        <f t="shared" si="81"/>
        <v>3.2645365216793785</v>
      </c>
      <c r="AH163" s="45">
        <f t="shared" si="71"/>
        <v>0.5295777538801052</v>
      </c>
      <c r="AI163" s="45">
        <f t="shared" si="72"/>
        <v>0.97101737123878651</v>
      </c>
      <c r="AJ163" s="21">
        <f>2.9/3.3*AF163</f>
        <v>351.5151515151515</v>
      </c>
      <c r="AK163" s="21">
        <f t="shared" si="73"/>
        <v>3</v>
      </c>
      <c r="AL163" s="68">
        <f t="shared" si="65"/>
        <v>8.4</v>
      </c>
      <c r="AM163" s="21">
        <f t="shared" si="86"/>
        <v>359.91515151515148</v>
      </c>
      <c r="AN163" s="41">
        <f t="shared" si="74"/>
        <v>3.2645365216793785</v>
      </c>
      <c r="AO163" s="41">
        <f t="shared" si="75"/>
        <v>0.5295777538801052</v>
      </c>
      <c r="AP163" s="41">
        <f t="shared" si="76"/>
        <v>0.97101737123878651</v>
      </c>
      <c r="AQ163" s="21">
        <f t="shared" si="77"/>
        <v>11.625000000000007</v>
      </c>
      <c r="AR163" s="21">
        <f t="shared" si="78"/>
        <v>984.24242424242425</v>
      </c>
      <c r="AS163" s="21">
        <f t="shared" si="79"/>
        <v>995.86742424242425</v>
      </c>
      <c r="AT163" s="41">
        <f t="shared" si="80"/>
        <v>3.7645585631282117</v>
      </c>
      <c r="AU163" s="4"/>
      <c r="AZ163" s="4"/>
    </row>
    <row r="164" spans="1:60" x14ac:dyDescent="0.25">
      <c r="A164" s="1"/>
      <c r="B164" s="10" t="s">
        <v>198</v>
      </c>
      <c r="C164" s="9">
        <v>125</v>
      </c>
      <c r="D164" s="10">
        <v>250</v>
      </c>
      <c r="E164" s="9">
        <v>225</v>
      </c>
      <c r="F164" s="10">
        <v>2300</v>
      </c>
      <c r="G164" s="9">
        <v>2000</v>
      </c>
      <c r="H164" s="10">
        <v>100</v>
      </c>
      <c r="I164" s="9">
        <v>125</v>
      </c>
      <c r="J164" s="10">
        <v>100</v>
      </c>
      <c r="K164" s="9">
        <v>125</v>
      </c>
      <c r="L164" s="10">
        <v>650</v>
      </c>
      <c r="M164" s="1">
        <f t="shared" si="87"/>
        <v>550</v>
      </c>
      <c r="N164" s="10">
        <v>2</v>
      </c>
      <c r="O164" s="10">
        <v>25</v>
      </c>
      <c r="P164" s="27">
        <f t="shared" si="68"/>
        <v>981.74770424681037</v>
      </c>
      <c r="Q164" s="36">
        <f>P164/(C164*E164)</f>
        <v>3.4906585039886591E-2</v>
      </c>
      <c r="R164" s="27">
        <v>565</v>
      </c>
      <c r="S164" s="48">
        <f t="shared" si="84"/>
        <v>2.8888888888888888</v>
      </c>
      <c r="T164" s="48">
        <f t="shared" si="85"/>
        <v>2.4444444444444446</v>
      </c>
      <c r="U164" s="58">
        <v>10</v>
      </c>
      <c r="V164" s="10">
        <v>90</v>
      </c>
      <c r="W164" s="9" t="s">
        <v>456</v>
      </c>
      <c r="X164" s="7">
        <f t="shared" si="69"/>
        <v>1</v>
      </c>
      <c r="Y164" s="10">
        <v>30</v>
      </c>
      <c r="Z164" s="9">
        <v>1.25</v>
      </c>
      <c r="AA164" s="9">
        <v>0.5</v>
      </c>
      <c r="AB164" s="67">
        <v>60</v>
      </c>
      <c r="AC164" s="9">
        <v>1200</v>
      </c>
      <c r="AD164" s="7">
        <f t="shared" si="70"/>
        <v>0.75</v>
      </c>
      <c r="AE164" s="27">
        <f t="shared" si="66"/>
        <v>157000</v>
      </c>
      <c r="AF164" s="27">
        <f>AJ164*2</f>
        <v>314</v>
      </c>
      <c r="AG164" s="41">
        <f t="shared" si="81"/>
        <v>5.61</v>
      </c>
      <c r="AH164" s="45">
        <f t="shared" si="71"/>
        <v>0.59134592245148698</v>
      </c>
      <c r="AI164" s="45">
        <f t="shared" si="72"/>
        <v>1.2518396166536572</v>
      </c>
      <c r="AJ164" s="27">
        <v>157</v>
      </c>
      <c r="AK164" s="21">
        <f t="shared" si="73"/>
        <v>0.78125</v>
      </c>
      <c r="AL164" s="69">
        <f t="shared" si="65"/>
        <v>0.78125000000000011</v>
      </c>
      <c r="AM164" s="27">
        <f t="shared" si="86"/>
        <v>157.78125</v>
      </c>
      <c r="AN164" s="41">
        <f t="shared" si="74"/>
        <v>5.61</v>
      </c>
      <c r="AO164" s="41">
        <f t="shared" si="75"/>
        <v>0.59134592245148698</v>
      </c>
      <c r="AP164" s="41">
        <f t="shared" si="76"/>
        <v>1.2518396166536572</v>
      </c>
      <c r="AQ164" s="21">
        <f t="shared" si="77"/>
        <v>0.33398437499999994</v>
      </c>
      <c r="AR164" s="21">
        <f t="shared" si="78"/>
        <v>102.05</v>
      </c>
      <c r="AS164" s="21">
        <f t="shared" si="79"/>
        <v>102.383984375</v>
      </c>
      <c r="AT164" s="41">
        <f t="shared" si="80"/>
        <v>2.8839924297440636</v>
      </c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</row>
    <row r="165" spans="1:60" x14ac:dyDescent="0.25">
      <c r="A165" t="s">
        <v>18</v>
      </c>
      <c r="B165" s="4" t="s">
        <v>199</v>
      </c>
      <c r="C165" s="8">
        <v>150</v>
      </c>
      <c r="D165" s="4">
        <v>250</v>
      </c>
      <c r="E165" s="8">
        <v>202</v>
      </c>
      <c r="F165" s="4">
        <v>2000</v>
      </c>
      <c r="G165" s="8">
        <v>1700</v>
      </c>
      <c r="H165" s="4">
        <v>100</v>
      </c>
      <c r="I165" s="8">
        <v>250</v>
      </c>
      <c r="J165" s="4">
        <v>100</v>
      </c>
      <c r="K165" s="8">
        <v>250</v>
      </c>
      <c r="L165" s="4">
        <v>600</v>
      </c>
      <c r="M165" s="4">
        <f t="shared" si="87"/>
        <v>500</v>
      </c>
      <c r="N165" s="4">
        <v>2</v>
      </c>
      <c r="O165" s="4">
        <v>15</v>
      </c>
      <c r="P165" s="21">
        <f t="shared" si="68"/>
        <v>353.42917352885172</v>
      </c>
      <c r="Q165" s="29">
        <f t="shared" ref="Q165:Q228" si="88">P165/(C165*E165)</f>
        <v>1.1664329159368044E-2</v>
      </c>
      <c r="R165" s="21">
        <v>478</v>
      </c>
      <c r="S165" s="49">
        <f t="shared" si="84"/>
        <v>2.9702970297029703</v>
      </c>
      <c r="T165" s="49">
        <f t="shared" si="85"/>
        <v>2.4752475247524752</v>
      </c>
      <c r="U165" s="57">
        <v>10</v>
      </c>
      <c r="V165" s="4">
        <v>21.3</v>
      </c>
      <c r="W165" s="59" t="s">
        <v>456</v>
      </c>
      <c r="X165" s="7">
        <f t="shared" si="69"/>
        <v>1</v>
      </c>
      <c r="Y165" s="4">
        <v>30</v>
      </c>
      <c r="Z165" s="8">
        <v>0.5</v>
      </c>
      <c r="AA165" s="8">
        <v>0.55000000000000004</v>
      </c>
      <c r="AB165" s="66">
        <v>55</v>
      </c>
      <c r="AC165" s="8">
        <v>1100</v>
      </c>
      <c r="AD165" s="7">
        <f t="shared" si="70"/>
        <v>0.27500000000000002</v>
      </c>
      <c r="AE165" s="68">
        <f t="shared" si="66"/>
        <v>47500</v>
      </c>
      <c r="AF165" s="21">
        <f>AJ165*2</f>
        <v>95</v>
      </c>
      <c r="AG165" s="49">
        <f t="shared" si="81"/>
        <v>1.5939562706270627</v>
      </c>
      <c r="AH165" s="45">
        <f t="shared" si="71"/>
        <v>0.34537158275162577</v>
      </c>
      <c r="AI165" s="45">
        <f t="shared" si="72"/>
        <v>0.57502033247646056</v>
      </c>
      <c r="AJ165" s="70">
        <v>47.5</v>
      </c>
      <c r="AK165" s="21">
        <f t="shared" si="73"/>
        <v>0.9375</v>
      </c>
      <c r="AL165" s="68">
        <f t="shared" si="65"/>
        <v>0.796875</v>
      </c>
      <c r="AM165" s="68">
        <f t="shared" si="86"/>
        <v>48.296875</v>
      </c>
      <c r="AN165" s="41">
        <f t="shared" si="74"/>
        <v>1.5939562706270627</v>
      </c>
      <c r="AO165" s="41">
        <f t="shared" si="75"/>
        <v>0.34537158275162577</v>
      </c>
      <c r="AP165" s="41">
        <f t="shared" si="76"/>
        <v>0.57502033247646056</v>
      </c>
      <c r="AQ165" s="21">
        <f t="shared" si="77"/>
        <v>0.298828125</v>
      </c>
      <c r="AR165" s="21">
        <f t="shared" si="78"/>
        <v>28.5</v>
      </c>
      <c r="AS165" s="21">
        <f t="shared" si="79"/>
        <v>28.798828125</v>
      </c>
      <c r="AT165" s="41">
        <f t="shared" si="80"/>
        <v>2.9519188573661639</v>
      </c>
      <c r="AZ165" s="4"/>
    </row>
    <row r="166" spans="1:60" x14ac:dyDescent="0.25">
      <c r="A166">
        <v>2012</v>
      </c>
      <c r="B166" s="4" t="s">
        <v>200</v>
      </c>
      <c r="C166" s="8">
        <v>150</v>
      </c>
      <c r="D166" s="4">
        <v>250</v>
      </c>
      <c r="E166" s="8">
        <v>202</v>
      </c>
      <c r="F166" s="4">
        <v>2000</v>
      </c>
      <c r="G166" s="8">
        <v>1700</v>
      </c>
      <c r="H166" s="4">
        <v>100</v>
      </c>
      <c r="I166" s="8">
        <v>250</v>
      </c>
      <c r="J166" s="4">
        <v>100</v>
      </c>
      <c r="K166" s="8">
        <v>250</v>
      </c>
      <c r="L166" s="4">
        <v>600</v>
      </c>
      <c r="M166" s="4">
        <f t="shared" si="87"/>
        <v>500</v>
      </c>
      <c r="N166" s="4">
        <v>2</v>
      </c>
      <c r="O166" s="4">
        <v>15</v>
      </c>
      <c r="P166" s="21">
        <f t="shared" si="68"/>
        <v>353.42917352885172</v>
      </c>
      <c r="Q166" s="29">
        <f t="shared" si="88"/>
        <v>1.1664329159368044E-2</v>
      </c>
      <c r="R166" s="21">
        <v>478</v>
      </c>
      <c r="S166" s="49">
        <f t="shared" si="84"/>
        <v>2.9702970297029703</v>
      </c>
      <c r="T166" s="49">
        <f t="shared" si="85"/>
        <v>2.4752475247524752</v>
      </c>
      <c r="U166" s="57">
        <v>10</v>
      </c>
      <c r="V166" s="4">
        <v>19.600000000000001</v>
      </c>
      <c r="W166" s="59" t="s">
        <v>456</v>
      </c>
      <c r="X166" s="7">
        <f t="shared" si="69"/>
        <v>1</v>
      </c>
      <c r="Y166" s="4">
        <v>30</v>
      </c>
      <c r="Z166" s="8">
        <v>1</v>
      </c>
      <c r="AA166" s="8">
        <v>0.55000000000000004</v>
      </c>
      <c r="AB166" s="66">
        <v>55</v>
      </c>
      <c r="AC166" s="8">
        <v>1100</v>
      </c>
      <c r="AD166" s="7">
        <f t="shared" si="70"/>
        <v>0.55000000000000004</v>
      </c>
      <c r="AE166" s="68">
        <f t="shared" si="66"/>
        <v>56500</v>
      </c>
      <c r="AF166" s="21">
        <f>AJ166*2</f>
        <v>113</v>
      </c>
      <c r="AG166" s="49">
        <f t="shared" si="81"/>
        <v>1.8909859735973598</v>
      </c>
      <c r="AH166" s="45">
        <f t="shared" si="71"/>
        <v>0.42713019285704884</v>
      </c>
      <c r="AI166" s="45">
        <f t="shared" si="72"/>
        <v>0.70135239389910409</v>
      </c>
      <c r="AJ166" s="68">
        <v>56.5</v>
      </c>
      <c r="AK166" s="21">
        <f t="shared" si="73"/>
        <v>0.9375</v>
      </c>
      <c r="AL166" s="68">
        <f t="shared" si="65"/>
        <v>0.796875</v>
      </c>
      <c r="AM166" s="68">
        <f t="shared" si="86"/>
        <v>57.296875</v>
      </c>
      <c r="AN166" s="41">
        <f t="shared" si="74"/>
        <v>1.8909859735973598</v>
      </c>
      <c r="AO166" s="41">
        <f t="shared" si="75"/>
        <v>0.42713019285704884</v>
      </c>
      <c r="AP166" s="41">
        <f t="shared" si="76"/>
        <v>0.70135239389910409</v>
      </c>
      <c r="AQ166" s="21">
        <f t="shared" si="77"/>
        <v>0.298828125</v>
      </c>
      <c r="AR166" s="21">
        <f t="shared" si="78"/>
        <v>33.9</v>
      </c>
      <c r="AS166" s="21">
        <f t="shared" si="79"/>
        <v>34.198828124999999</v>
      </c>
      <c r="AT166" s="41">
        <f t="shared" si="80"/>
        <v>2.9548056387313122</v>
      </c>
    </row>
    <row r="167" spans="1:60" x14ac:dyDescent="0.25">
      <c r="B167" s="4" t="s">
        <v>201</v>
      </c>
      <c r="C167" s="8">
        <v>300</v>
      </c>
      <c r="D167" s="4">
        <v>500</v>
      </c>
      <c r="E167" s="8">
        <v>437</v>
      </c>
      <c r="F167" s="4">
        <v>4400</v>
      </c>
      <c r="G167" s="8">
        <v>3700</v>
      </c>
      <c r="H167" s="4">
        <v>100</v>
      </c>
      <c r="I167" s="8">
        <v>500</v>
      </c>
      <c r="J167" s="4">
        <v>100</v>
      </c>
      <c r="K167" s="8">
        <v>500</v>
      </c>
      <c r="L167" s="4">
        <v>1350</v>
      </c>
      <c r="M167" s="4">
        <f t="shared" si="87"/>
        <v>1250</v>
      </c>
      <c r="N167" s="4">
        <v>4</v>
      </c>
      <c r="O167" s="4">
        <v>25</v>
      </c>
      <c r="P167" s="21">
        <f t="shared" si="68"/>
        <v>1963.4954084936207</v>
      </c>
      <c r="Q167" s="29">
        <f t="shared" si="88"/>
        <v>1.4977081681873537E-2</v>
      </c>
      <c r="R167" s="21">
        <v>429</v>
      </c>
      <c r="S167" s="49">
        <f t="shared" si="84"/>
        <v>3.0892448512585813</v>
      </c>
      <c r="T167" s="49">
        <f t="shared" si="85"/>
        <v>2.860411899313501</v>
      </c>
      <c r="U167" s="57">
        <v>10</v>
      </c>
      <c r="V167" s="4">
        <v>21.3</v>
      </c>
      <c r="W167" s="59" t="s">
        <v>456</v>
      </c>
      <c r="X167" s="7">
        <f t="shared" si="69"/>
        <v>1</v>
      </c>
      <c r="Y167" s="4">
        <v>30</v>
      </c>
      <c r="Z167" s="8">
        <v>0.5</v>
      </c>
      <c r="AA167" s="8">
        <v>0.55000000000000004</v>
      </c>
      <c r="AB167" s="66">
        <v>55</v>
      </c>
      <c r="AC167" s="8">
        <v>1100</v>
      </c>
      <c r="AD167" s="7">
        <f t="shared" si="70"/>
        <v>0.27500000000000002</v>
      </c>
      <c r="AE167" s="68">
        <f t="shared" si="66"/>
        <v>154300</v>
      </c>
      <c r="AF167" s="21">
        <f>AJ167*2</f>
        <v>308.60000000000002</v>
      </c>
      <c r="AG167" s="49">
        <f t="shared" si="81"/>
        <v>1.2298817696414952</v>
      </c>
      <c r="AH167" s="45">
        <f t="shared" si="71"/>
        <v>0.26648548721562515</v>
      </c>
      <c r="AI167" s="45">
        <f t="shared" si="72"/>
        <v>0.44368031740781372</v>
      </c>
      <c r="AJ167" s="68">
        <v>154.30000000000001</v>
      </c>
      <c r="AK167" s="21">
        <f t="shared" si="73"/>
        <v>3.75</v>
      </c>
      <c r="AL167" s="68">
        <f t="shared" si="65"/>
        <v>6.9375</v>
      </c>
      <c r="AM167" s="68">
        <f t="shared" si="86"/>
        <v>161.23750000000001</v>
      </c>
      <c r="AN167" s="41">
        <f t="shared" si="74"/>
        <v>1.229881769641495</v>
      </c>
      <c r="AO167" s="41">
        <f t="shared" si="75"/>
        <v>0.26648548721562509</v>
      </c>
      <c r="AP167" s="41">
        <f t="shared" si="76"/>
        <v>0.44368031740781366</v>
      </c>
      <c r="AQ167" s="21">
        <f t="shared" si="77"/>
        <v>5.7187499999999982</v>
      </c>
      <c r="AR167" s="21">
        <f t="shared" si="78"/>
        <v>208.30500000000004</v>
      </c>
      <c r="AS167" s="21">
        <f t="shared" si="79"/>
        <v>214.02375000000004</v>
      </c>
      <c r="AT167" s="41">
        <f t="shared" si="80"/>
        <v>3.0374873400329228</v>
      </c>
    </row>
    <row r="168" spans="1:60" x14ac:dyDescent="0.25">
      <c r="A168" s="1"/>
      <c r="B168" s="10" t="s">
        <v>202</v>
      </c>
      <c r="C168" s="9">
        <v>300</v>
      </c>
      <c r="D168" s="10">
        <v>500</v>
      </c>
      <c r="E168" s="9">
        <v>437</v>
      </c>
      <c r="F168" s="10">
        <v>4400</v>
      </c>
      <c r="G168" s="9">
        <v>3700</v>
      </c>
      <c r="H168" s="10">
        <v>100</v>
      </c>
      <c r="I168" s="9">
        <v>500</v>
      </c>
      <c r="J168" s="10">
        <v>100</v>
      </c>
      <c r="K168" s="9">
        <v>500</v>
      </c>
      <c r="L168" s="10">
        <v>1350</v>
      </c>
      <c r="M168" s="10">
        <f t="shared" si="87"/>
        <v>1250</v>
      </c>
      <c r="N168" s="10">
        <v>4</v>
      </c>
      <c r="O168" s="10">
        <v>25</v>
      </c>
      <c r="P168" s="27">
        <f t="shared" si="68"/>
        <v>1963.4954084936207</v>
      </c>
      <c r="Q168" s="36">
        <f t="shared" si="88"/>
        <v>1.4977081681873537E-2</v>
      </c>
      <c r="R168" s="27">
        <v>429</v>
      </c>
      <c r="S168" s="50">
        <f t="shared" si="84"/>
        <v>3.0892448512585813</v>
      </c>
      <c r="T168" s="50">
        <f t="shared" si="85"/>
        <v>2.860411899313501</v>
      </c>
      <c r="U168" s="1">
        <v>10</v>
      </c>
      <c r="V168" s="10">
        <v>19.600000000000001</v>
      </c>
      <c r="W168" s="60" t="s">
        <v>456</v>
      </c>
      <c r="X168" s="7">
        <f t="shared" si="69"/>
        <v>1</v>
      </c>
      <c r="Y168" s="10">
        <v>30</v>
      </c>
      <c r="Z168" s="9">
        <v>1</v>
      </c>
      <c r="AA168" s="9">
        <v>0.55000000000000004</v>
      </c>
      <c r="AB168" s="67">
        <v>55</v>
      </c>
      <c r="AC168" s="9">
        <v>1100</v>
      </c>
      <c r="AD168" s="7">
        <f t="shared" si="70"/>
        <v>0.55000000000000004</v>
      </c>
      <c r="AE168" s="69">
        <f t="shared" si="66"/>
        <v>198000</v>
      </c>
      <c r="AF168" s="27">
        <f>AJ168*2</f>
        <v>396</v>
      </c>
      <c r="AG168" s="49">
        <f t="shared" si="81"/>
        <v>1.5632151029748282</v>
      </c>
      <c r="AH168" s="45">
        <f t="shared" si="71"/>
        <v>0.35309429986965085</v>
      </c>
      <c r="AI168" s="45">
        <f t="shared" si="72"/>
        <v>0.579784657294383</v>
      </c>
      <c r="AJ168" s="69">
        <v>198</v>
      </c>
      <c r="AK168" s="21">
        <f t="shared" si="73"/>
        <v>3.75</v>
      </c>
      <c r="AL168" s="69">
        <f t="shared" si="65"/>
        <v>6.9375</v>
      </c>
      <c r="AM168" s="69">
        <f t="shared" si="86"/>
        <v>204.9375</v>
      </c>
      <c r="AN168" s="41">
        <f t="shared" si="74"/>
        <v>1.5632151029748285</v>
      </c>
      <c r="AO168" s="41">
        <f t="shared" si="75"/>
        <v>0.35309429986965091</v>
      </c>
      <c r="AP168" s="41">
        <f t="shared" si="76"/>
        <v>0.579784657294383</v>
      </c>
      <c r="AQ168" s="21">
        <f t="shared" si="77"/>
        <v>5.7187499999999982</v>
      </c>
      <c r="AR168" s="21">
        <f t="shared" si="78"/>
        <v>267.3</v>
      </c>
      <c r="AS168" s="21">
        <f t="shared" si="79"/>
        <v>273.01875000000001</v>
      </c>
      <c r="AT168" s="41">
        <f t="shared" si="80"/>
        <v>3.0485238913744843</v>
      </c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</row>
    <row r="169" spans="1:60" x14ac:dyDescent="0.25">
      <c r="A169" t="s">
        <v>19</v>
      </c>
      <c r="B169" s="4" t="s">
        <v>203</v>
      </c>
      <c r="C169" s="8">
        <v>200</v>
      </c>
      <c r="D169" s="4">
        <v>480</v>
      </c>
      <c r="E169" s="8">
        <v>435</v>
      </c>
      <c r="F169" s="4">
        <v>4450</v>
      </c>
      <c r="G169" s="4">
        <v>4350</v>
      </c>
      <c r="H169" s="4">
        <v>90</v>
      </c>
      <c r="I169" s="8">
        <v>200</v>
      </c>
      <c r="J169" s="4">
        <v>90</v>
      </c>
      <c r="K169" s="8">
        <v>200</v>
      </c>
      <c r="L169" s="4">
        <v>1090</v>
      </c>
      <c r="M169" s="4">
        <f t="shared" si="87"/>
        <v>1000</v>
      </c>
      <c r="N169" s="4">
        <v>2</v>
      </c>
      <c r="O169" s="4">
        <v>24</v>
      </c>
      <c r="P169" s="21">
        <f t="shared" si="68"/>
        <v>904.77868423386042</v>
      </c>
      <c r="Q169" s="29">
        <f t="shared" si="88"/>
        <v>1.0399754991193798E-2</v>
      </c>
      <c r="R169" s="21">
        <v>512</v>
      </c>
      <c r="S169" s="49">
        <f t="shared" si="84"/>
        <v>2.5057471264367814</v>
      </c>
      <c r="T169" s="49">
        <f t="shared" si="85"/>
        <v>2.2988505747126435</v>
      </c>
      <c r="U169">
        <v>20</v>
      </c>
      <c r="V169" s="4">
        <v>24.8</v>
      </c>
      <c r="W169" s="61" t="s">
        <v>456</v>
      </c>
      <c r="X169" s="7">
        <f t="shared" si="69"/>
        <v>1</v>
      </c>
      <c r="Y169" s="4">
        <v>30</v>
      </c>
      <c r="Z169" s="8">
        <v>0.38</v>
      </c>
      <c r="AA169" s="8">
        <v>0.6</v>
      </c>
      <c r="AB169" s="66">
        <v>50</v>
      </c>
      <c r="AC169" s="8">
        <v>1100</v>
      </c>
      <c r="AD169" s="7">
        <f t="shared" si="70"/>
        <v>0.19</v>
      </c>
      <c r="AE169" s="21">
        <f t="shared" si="66"/>
        <v>129000</v>
      </c>
      <c r="AF169" s="66">
        <v>258</v>
      </c>
      <c r="AG169" s="49">
        <f t="shared" si="81"/>
        <v>1.5427586206896553</v>
      </c>
      <c r="AH169" s="45">
        <f t="shared" si="71"/>
        <v>0.30979338599222245</v>
      </c>
      <c r="AI169" s="45">
        <f t="shared" si="72"/>
        <v>0.52903055352895467</v>
      </c>
      <c r="AJ169" s="21">
        <f>AF169/2</f>
        <v>129</v>
      </c>
      <c r="AK169" s="21">
        <f t="shared" si="73"/>
        <v>2.4</v>
      </c>
      <c r="AL169" s="68">
        <f t="shared" si="65"/>
        <v>5.2199999999999989</v>
      </c>
      <c r="AM169" s="21">
        <f t="shared" si="86"/>
        <v>134.22</v>
      </c>
      <c r="AN169" s="41">
        <f t="shared" si="74"/>
        <v>1.5427586206896551</v>
      </c>
      <c r="AO169" s="41">
        <f t="shared" si="75"/>
        <v>0.30979338599222239</v>
      </c>
      <c r="AP169" s="41">
        <f t="shared" si="76"/>
        <v>0.52903055352895456</v>
      </c>
      <c r="AQ169" s="21">
        <f t="shared" si="77"/>
        <v>4.2610799999999998</v>
      </c>
      <c r="AR169" s="21">
        <f t="shared" si="78"/>
        <v>140.61000000000001</v>
      </c>
      <c r="AS169" s="21">
        <f t="shared" si="79"/>
        <v>144.87108000000001</v>
      </c>
      <c r="AT169" s="41">
        <f t="shared" si="80"/>
        <v>2.4812767509852587</v>
      </c>
      <c r="AU169" s="4"/>
    </row>
    <row r="170" spans="1:60" x14ac:dyDescent="0.25">
      <c r="A170">
        <v>2013</v>
      </c>
      <c r="B170" s="4" t="s">
        <v>204</v>
      </c>
      <c r="C170" s="8">
        <v>200</v>
      </c>
      <c r="D170" s="4">
        <v>480</v>
      </c>
      <c r="E170" s="8">
        <v>435</v>
      </c>
      <c r="F170" s="4">
        <v>4450</v>
      </c>
      <c r="G170" s="4">
        <v>4350</v>
      </c>
      <c r="H170" s="4">
        <v>90</v>
      </c>
      <c r="I170" s="8">
        <v>200</v>
      </c>
      <c r="J170" s="4">
        <v>90</v>
      </c>
      <c r="K170" s="8">
        <v>200</v>
      </c>
      <c r="L170" s="4">
        <v>1090</v>
      </c>
      <c r="M170" s="4">
        <f t="shared" si="87"/>
        <v>1000</v>
      </c>
      <c r="N170" s="4">
        <v>2</v>
      </c>
      <c r="O170" s="4">
        <v>24</v>
      </c>
      <c r="P170" s="21">
        <f t="shared" si="68"/>
        <v>904.77868423386042</v>
      </c>
      <c r="Q170" s="29">
        <f t="shared" si="88"/>
        <v>1.0399754991193798E-2</v>
      </c>
      <c r="R170" s="21">
        <v>512</v>
      </c>
      <c r="S170" s="49">
        <f t="shared" si="84"/>
        <v>2.5057471264367814</v>
      </c>
      <c r="T170" s="49">
        <f t="shared" si="85"/>
        <v>2.2988505747126435</v>
      </c>
      <c r="U170">
        <v>20</v>
      </c>
      <c r="V170" s="4">
        <v>33.5</v>
      </c>
      <c r="W170" s="61" t="s">
        <v>456</v>
      </c>
      <c r="X170" s="7">
        <f t="shared" si="69"/>
        <v>1</v>
      </c>
      <c r="Y170" s="4">
        <v>50</v>
      </c>
      <c r="Z170" s="8">
        <v>0.38</v>
      </c>
      <c r="AA170" s="8">
        <v>1</v>
      </c>
      <c r="AB170" s="66">
        <v>50</v>
      </c>
      <c r="AC170" s="8">
        <v>1100</v>
      </c>
      <c r="AD170" s="7">
        <f t="shared" si="70"/>
        <v>0.19</v>
      </c>
      <c r="AE170" s="21">
        <f t="shared" si="66"/>
        <v>114500</v>
      </c>
      <c r="AF170" s="66">
        <v>229</v>
      </c>
      <c r="AG170" s="49">
        <f t="shared" si="81"/>
        <v>1.3760919540229886</v>
      </c>
      <c r="AH170" s="45">
        <f t="shared" si="71"/>
        <v>0.2377524779554033</v>
      </c>
      <c r="AI170" s="45">
        <f t="shared" si="72"/>
        <v>0.42687349172949163</v>
      </c>
      <c r="AJ170" s="21">
        <f t="shared" ref="AJ170:AJ175" si="89">AF170/2</f>
        <v>114.5</v>
      </c>
      <c r="AK170" s="21">
        <f t="shared" si="73"/>
        <v>2.4</v>
      </c>
      <c r="AL170" s="68">
        <f t="shared" si="65"/>
        <v>5.2199999999999989</v>
      </c>
      <c r="AM170" s="21">
        <f t="shared" si="86"/>
        <v>119.72</v>
      </c>
      <c r="AN170" s="41">
        <f t="shared" si="74"/>
        <v>1.3760919540229886</v>
      </c>
      <c r="AO170" s="41">
        <f t="shared" si="75"/>
        <v>0.2377524779554033</v>
      </c>
      <c r="AP170" s="41">
        <f t="shared" si="76"/>
        <v>0.42687349172949163</v>
      </c>
      <c r="AQ170" s="21">
        <f t="shared" si="77"/>
        <v>4.2610799999999998</v>
      </c>
      <c r="AR170" s="21">
        <f t="shared" si="78"/>
        <v>124.80500000000001</v>
      </c>
      <c r="AS170" s="21">
        <f t="shared" si="79"/>
        <v>129.06608</v>
      </c>
      <c r="AT170" s="41">
        <f t="shared" si="80"/>
        <v>2.4783129985291352</v>
      </c>
      <c r="AU170" s="4"/>
    </row>
    <row r="171" spans="1:60" x14ac:dyDescent="0.25">
      <c r="B171" s="4" t="s">
        <v>205</v>
      </c>
      <c r="C171" s="8">
        <v>200</v>
      </c>
      <c r="D171" s="4">
        <v>480</v>
      </c>
      <c r="E171" s="8">
        <v>435</v>
      </c>
      <c r="F171" s="4">
        <v>4450</v>
      </c>
      <c r="G171" s="4">
        <v>4350</v>
      </c>
      <c r="H171" s="4">
        <v>90</v>
      </c>
      <c r="I171" s="8">
        <v>200</v>
      </c>
      <c r="J171" s="4">
        <v>90</v>
      </c>
      <c r="K171" s="8">
        <v>200</v>
      </c>
      <c r="L171" s="4">
        <v>1090</v>
      </c>
      <c r="M171" s="4">
        <f t="shared" si="87"/>
        <v>1000</v>
      </c>
      <c r="N171" s="4">
        <v>2</v>
      </c>
      <c r="O171" s="4">
        <v>24</v>
      </c>
      <c r="P171" s="21">
        <f t="shared" si="68"/>
        <v>904.77868423386042</v>
      </c>
      <c r="Q171" s="29">
        <f t="shared" si="88"/>
        <v>1.0399754991193798E-2</v>
      </c>
      <c r="R171" s="21">
        <v>512</v>
      </c>
      <c r="S171" s="49">
        <f t="shared" si="84"/>
        <v>2.5057471264367814</v>
      </c>
      <c r="T171" s="49">
        <f t="shared" si="85"/>
        <v>2.2988505747126435</v>
      </c>
      <c r="U171">
        <v>20</v>
      </c>
      <c r="V171" s="4">
        <v>33.5</v>
      </c>
      <c r="W171" s="61" t="s">
        <v>459</v>
      </c>
      <c r="X171" s="7">
        <v>0.75</v>
      </c>
      <c r="Y171" s="4">
        <v>24</v>
      </c>
      <c r="Z171">
        <f>0.38+0.19</f>
        <v>0.57000000000000006</v>
      </c>
      <c r="AA171" s="8">
        <v>0.73</v>
      </c>
      <c r="AB171" s="66">
        <v>78</v>
      </c>
      <c r="AC171" s="8">
        <v>1333</v>
      </c>
      <c r="AD171" s="7">
        <f t="shared" si="70"/>
        <v>0.33345000000000008</v>
      </c>
      <c r="AE171" s="21">
        <f t="shared" si="66"/>
        <v>136500</v>
      </c>
      <c r="AF171" s="66">
        <v>273</v>
      </c>
      <c r="AG171" s="49">
        <f t="shared" si="81"/>
        <v>1.6289655172413793</v>
      </c>
      <c r="AH171" s="45">
        <f t="shared" si="71"/>
        <v>0.28144237534112726</v>
      </c>
      <c r="AI171" s="45">
        <f t="shared" si="72"/>
        <v>0.50531666595308677</v>
      </c>
      <c r="AJ171" s="21">
        <f t="shared" si="89"/>
        <v>136.5</v>
      </c>
      <c r="AK171" s="21">
        <f t="shared" si="73"/>
        <v>2.4</v>
      </c>
      <c r="AL171" s="68">
        <f t="shared" ref="AL171:AL177" si="90">25*C171/1000*D171/1000*F171/1000-25*C171/1000*D171/1000*F171/1000*(F171/2000-(F171-G171)/2000)*1/(G171/1000)-25*C171/1000*D171/1000*(F171-G171)/2000</f>
        <v>5.2199999999999989</v>
      </c>
      <c r="AM171" s="21">
        <f t="shared" si="86"/>
        <v>141.72</v>
      </c>
      <c r="AN171" s="41">
        <f t="shared" si="74"/>
        <v>1.6289655172413793</v>
      </c>
      <c r="AO171" s="41">
        <f t="shared" si="75"/>
        <v>0.28144237534112726</v>
      </c>
      <c r="AP171" s="41">
        <f t="shared" si="76"/>
        <v>0.50531666595308677</v>
      </c>
      <c r="AQ171" s="21">
        <f t="shared" si="77"/>
        <v>4.2610799999999998</v>
      </c>
      <c r="AR171" s="21">
        <f t="shared" si="78"/>
        <v>148.785</v>
      </c>
      <c r="AS171" s="21">
        <f t="shared" si="79"/>
        <v>153.04607999999999</v>
      </c>
      <c r="AT171" s="41">
        <f t="shared" si="80"/>
        <v>2.4825717539198227</v>
      </c>
      <c r="AU171" s="4"/>
    </row>
    <row r="172" spans="1:60" x14ac:dyDescent="0.25">
      <c r="B172" s="4" t="s">
        <v>206</v>
      </c>
      <c r="C172" s="8">
        <v>200</v>
      </c>
      <c r="D172" s="4">
        <v>480</v>
      </c>
      <c r="E172" s="8">
        <v>435</v>
      </c>
      <c r="F172" s="4">
        <v>4450</v>
      </c>
      <c r="G172" s="4">
        <v>4350</v>
      </c>
      <c r="H172" s="4">
        <v>90</v>
      </c>
      <c r="I172" s="8">
        <v>200</v>
      </c>
      <c r="J172" s="4">
        <v>90</v>
      </c>
      <c r="K172" s="8">
        <v>200</v>
      </c>
      <c r="L172" s="4">
        <v>1090</v>
      </c>
      <c r="M172" s="4">
        <f t="shared" si="87"/>
        <v>1000</v>
      </c>
      <c r="N172" s="4">
        <v>2</v>
      </c>
      <c r="O172" s="4">
        <v>24</v>
      </c>
      <c r="P172" s="21">
        <f t="shared" si="68"/>
        <v>904.77868423386042</v>
      </c>
      <c r="Q172" s="29">
        <f t="shared" si="88"/>
        <v>1.0399754991193798E-2</v>
      </c>
      <c r="R172" s="21">
        <v>512</v>
      </c>
      <c r="S172" s="49">
        <f t="shared" si="84"/>
        <v>2.5057471264367814</v>
      </c>
      <c r="T172" s="49">
        <f t="shared" si="85"/>
        <v>2.2988505747126435</v>
      </c>
      <c r="U172">
        <v>20</v>
      </c>
      <c r="V172" s="4">
        <v>38.6</v>
      </c>
      <c r="W172" s="61" t="s">
        <v>456</v>
      </c>
      <c r="X172" s="7">
        <f t="shared" si="69"/>
        <v>1</v>
      </c>
      <c r="Y172" s="4">
        <v>30</v>
      </c>
      <c r="Z172" s="8">
        <v>0.38</v>
      </c>
      <c r="AA172" s="8">
        <v>0.6</v>
      </c>
      <c r="AB172" s="66">
        <v>50</v>
      </c>
      <c r="AC172" s="8">
        <v>1100</v>
      </c>
      <c r="AD172" s="7">
        <f t="shared" si="70"/>
        <v>0.19</v>
      </c>
      <c r="AE172" s="21">
        <f t="shared" si="66"/>
        <v>136000</v>
      </c>
      <c r="AF172" s="66">
        <v>272</v>
      </c>
      <c r="AG172" s="49">
        <f t="shared" si="81"/>
        <v>1.6232183908045976</v>
      </c>
      <c r="AH172" s="45">
        <f t="shared" si="71"/>
        <v>0.26126624422047767</v>
      </c>
      <c r="AI172" s="45">
        <f t="shared" si="72"/>
        <v>0.48030213778229658</v>
      </c>
      <c r="AJ172" s="21">
        <f t="shared" si="89"/>
        <v>136</v>
      </c>
      <c r="AK172" s="21">
        <f t="shared" si="73"/>
        <v>2.4</v>
      </c>
      <c r="AL172" s="68">
        <f t="shared" si="90"/>
        <v>5.2199999999999989</v>
      </c>
      <c r="AM172" s="21">
        <f t="shared" si="86"/>
        <v>141.22</v>
      </c>
      <c r="AN172" s="41">
        <f t="shared" si="74"/>
        <v>1.6232183908045976</v>
      </c>
      <c r="AO172" s="41">
        <f t="shared" si="75"/>
        <v>0.26126624422047767</v>
      </c>
      <c r="AP172" s="41">
        <f t="shared" si="76"/>
        <v>0.48030213778229658</v>
      </c>
      <c r="AQ172" s="21">
        <f t="shared" si="77"/>
        <v>4.2610799999999998</v>
      </c>
      <c r="AR172" s="21">
        <f t="shared" si="78"/>
        <v>148.24</v>
      </c>
      <c r="AS172" s="21">
        <f t="shared" si="79"/>
        <v>152.50108</v>
      </c>
      <c r="AT172" s="41">
        <f t="shared" si="80"/>
        <v>2.4824896997755195</v>
      </c>
      <c r="AU172" s="4"/>
    </row>
    <row r="173" spans="1:60" x14ac:dyDescent="0.25">
      <c r="B173" s="4" t="s">
        <v>207</v>
      </c>
      <c r="C173" s="8">
        <v>200</v>
      </c>
      <c r="D173" s="4">
        <v>480</v>
      </c>
      <c r="E173" s="8">
        <v>435</v>
      </c>
      <c r="F173" s="4">
        <v>4450</v>
      </c>
      <c r="G173" s="4">
        <v>4350</v>
      </c>
      <c r="H173" s="4">
        <v>90</v>
      </c>
      <c r="I173" s="8">
        <v>200</v>
      </c>
      <c r="J173" s="4">
        <v>90</v>
      </c>
      <c r="K173" s="8">
        <v>200</v>
      </c>
      <c r="L173" s="4">
        <v>1090</v>
      </c>
      <c r="M173" s="4">
        <f t="shared" si="87"/>
        <v>1000</v>
      </c>
      <c r="N173" s="4">
        <v>2</v>
      </c>
      <c r="O173" s="4">
        <v>24</v>
      </c>
      <c r="P173" s="21">
        <f t="shared" si="68"/>
        <v>904.77868423386042</v>
      </c>
      <c r="Q173" s="29">
        <f t="shared" si="88"/>
        <v>1.0399754991193798E-2</v>
      </c>
      <c r="R173" s="21">
        <v>512</v>
      </c>
      <c r="S173" s="49">
        <f t="shared" si="84"/>
        <v>2.5057471264367814</v>
      </c>
      <c r="T173" s="49">
        <f t="shared" si="85"/>
        <v>2.2988505747126435</v>
      </c>
      <c r="U173">
        <v>20</v>
      </c>
      <c r="V173" s="4">
        <v>61.1</v>
      </c>
      <c r="W173" s="61" t="s">
        <v>456</v>
      </c>
      <c r="X173" s="7">
        <f t="shared" si="69"/>
        <v>1</v>
      </c>
      <c r="Y173" s="4">
        <v>30</v>
      </c>
      <c r="Z173" s="8">
        <v>0.64</v>
      </c>
      <c r="AA173" s="8">
        <v>0.62</v>
      </c>
      <c r="AB173" s="66">
        <v>48</v>
      </c>
      <c r="AC173" s="8">
        <v>1250</v>
      </c>
      <c r="AD173" s="7">
        <f t="shared" si="70"/>
        <v>0.30719999999999997</v>
      </c>
      <c r="AE173" s="21">
        <f t="shared" si="66"/>
        <v>186000</v>
      </c>
      <c r="AF173" s="66">
        <v>372</v>
      </c>
      <c r="AG173" s="49">
        <f t="shared" si="81"/>
        <v>2.1979310344827585</v>
      </c>
      <c r="AH173" s="45">
        <f t="shared" si="71"/>
        <v>0.28118584614285119</v>
      </c>
      <c r="AI173" s="45">
        <f t="shared" si="72"/>
        <v>0.55804213442845196</v>
      </c>
      <c r="AJ173" s="21">
        <f t="shared" si="89"/>
        <v>186</v>
      </c>
      <c r="AK173" s="21">
        <f t="shared" si="73"/>
        <v>2.4</v>
      </c>
      <c r="AL173" s="68">
        <f t="shared" si="90"/>
        <v>5.2199999999999989</v>
      </c>
      <c r="AM173" s="21">
        <f t="shared" si="86"/>
        <v>191.22</v>
      </c>
      <c r="AN173" s="41">
        <f t="shared" si="74"/>
        <v>2.1979310344827585</v>
      </c>
      <c r="AO173" s="41">
        <f t="shared" si="75"/>
        <v>0.28118584614285119</v>
      </c>
      <c r="AP173" s="41">
        <f t="shared" si="76"/>
        <v>0.55804213442845196</v>
      </c>
      <c r="AQ173" s="21">
        <f t="shared" si="77"/>
        <v>4.2610799999999998</v>
      </c>
      <c r="AR173" s="21">
        <f t="shared" si="78"/>
        <v>202.74</v>
      </c>
      <c r="AS173" s="21">
        <f t="shared" si="79"/>
        <v>207.00108</v>
      </c>
      <c r="AT173" s="41">
        <f t="shared" si="80"/>
        <v>2.4885710266924899</v>
      </c>
      <c r="AU173" s="4"/>
    </row>
    <row r="174" spans="1:60" x14ac:dyDescent="0.25">
      <c r="B174" s="4" t="s">
        <v>208</v>
      </c>
      <c r="C174" s="8">
        <v>200</v>
      </c>
      <c r="D174" s="4">
        <v>500</v>
      </c>
      <c r="E174" s="8">
        <v>455</v>
      </c>
      <c r="F174" s="4">
        <v>2400</v>
      </c>
      <c r="G174" s="4">
        <v>2280</v>
      </c>
      <c r="H174" s="4">
        <v>90</v>
      </c>
      <c r="I174" s="8">
        <v>200</v>
      </c>
      <c r="J174" s="4">
        <v>90</v>
      </c>
      <c r="K174" s="8">
        <v>200</v>
      </c>
      <c r="L174" s="4">
        <v>1140</v>
      </c>
      <c r="M174" s="4">
        <f t="shared" si="87"/>
        <v>1050</v>
      </c>
      <c r="N174" s="4">
        <v>2</v>
      </c>
      <c r="O174" s="4">
        <v>24</v>
      </c>
      <c r="P174" s="21">
        <f t="shared" si="68"/>
        <v>904.77868423386042</v>
      </c>
      <c r="Q174" s="29">
        <f t="shared" si="88"/>
        <v>9.942622903668796E-3</v>
      </c>
      <c r="R174" s="21">
        <v>550</v>
      </c>
      <c r="S174" s="49">
        <f t="shared" si="84"/>
        <v>2.5054945054945055</v>
      </c>
      <c r="T174" s="49">
        <f t="shared" si="85"/>
        <v>2.3076923076923075</v>
      </c>
      <c r="U174">
        <v>15</v>
      </c>
      <c r="V174" s="4">
        <v>24.4</v>
      </c>
      <c r="W174" s="61" t="s">
        <v>456</v>
      </c>
      <c r="X174" s="7">
        <f t="shared" si="69"/>
        <v>1</v>
      </c>
      <c r="Y174" s="4">
        <v>50</v>
      </c>
      <c r="Z174" s="8">
        <v>0.25</v>
      </c>
      <c r="AA174" s="8">
        <v>1</v>
      </c>
      <c r="AB174" s="66">
        <v>50</v>
      </c>
      <c r="AC174" s="8">
        <v>1100</v>
      </c>
      <c r="AD174" s="7">
        <f t="shared" si="70"/>
        <v>0.125</v>
      </c>
      <c r="AE174" s="21">
        <f t="shared" si="66"/>
        <v>194000</v>
      </c>
      <c r="AF174" s="66">
        <v>388</v>
      </c>
      <c r="AG174" s="49">
        <f t="shared" si="81"/>
        <v>2.1631868131868131</v>
      </c>
      <c r="AH174" s="45">
        <f t="shared" si="71"/>
        <v>0.43792436976846044</v>
      </c>
      <c r="AI174" s="45">
        <f t="shared" si="72"/>
        <v>0.74581437767888736</v>
      </c>
      <c r="AJ174" s="21">
        <f t="shared" si="89"/>
        <v>194</v>
      </c>
      <c r="AK174" s="21">
        <f t="shared" si="73"/>
        <v>2.5</v>
      </c>
      <c r="AL174" s="68">
        <f t="shared" si="90"/>
        <v>2.85</v>
      </c>
      <c r="AM174" s="21">
        <f t="shared" si="86"/>
        <v>196.85</v>
      </c>
      <c r="AN174" s="41">
        <f t="shared" si="74"/>
        <v>2.1631868131868131</v>
      </c>
      <c r="AO174" s="41">
        <f t="shared" si="75"/>
        <v>0.43792436976846044</v>
      </c>
      <c r="AP174" s="41">
        <f t="shared" si="76"/>
        <v>0.74581437767888736</v>
      </c>
      <c r="AQ174" s="21">
        <f t="shared" si="77"/>
        <v>1.62</v>
      </c>
      <c r="AR174" s="21">
        <f t="shared" si="78"/>
        <v>221.16</v>
      </c>
      <c r="AS174" s="21">
        <f t="shared" si="79"/>
        <v>222.78</v>
      </c>
      <c r="AT174" s="41">
        <f t="shared" si="80"/>
        <v>2.4873069526358833</v>
      </c>
      <c r="AU174" s="4"/>
    </row>
    <row r="175" spans="1:60" x14ac:dyDescent="0.25">
      <c r="B175" s="4" t="s">
        <v>209</v>
      </c>
      <c r="C175" s="8">
        <v>200</v>
      </c>
      <c r="D175" s="4">
        <v>500</v>
      </c>
      <c r="E175" s="8">
        <v>455</v>
      </c>
      <c r="F175" s="4">
        <v>2400</v>
      </c>
      <c r="G175" s="4">
        <v>2280</v>
      </c>
      <c r="H175" s="4">
        <v>90</v>
      </c>
      <c r="I175" s="8">
        <v>200</v>
      </c>
      <c r="J175" s="4">
        <v>90</v>
      </c>
      <c r="K175" s="8">
        <v>200</v>
      </c>
      <c r="L175" s="4">
        <v>1140</v>
      </c>
      <c r="M175" s="4">
        <f t="shared" si="87"/>
        <v>1050</v>
      </c>
      <c r="N175" s="4">
        <v>2</v>
      </c>
      <c r="O175" s="4">
        <v>24</v>
      </c>
      <c r="P175" s="21">
        <f t="shared" si="68"/>
        <v>904.77868423386042</v>
      </c>
      <c r="Q175" s="29">
        <f t="shared" si="88"/>
        <v>9.942622903668796E-3</v>
      </c>
      <c r="R175" s="21">
        <v>550</v>
      </c>
      <c r="S175" s="49">
        <f t="shared" si="84"/>
        <v>2.5054945054945055</v>
      </c>
      <c r="T175" s="49">
        <f t="shared" si="85"/>
        <v>2.3076923076923075</v>
      </c>
      <c r="U175">
        <v>15</v>
      </c>
      <c r="V175" s="4">
        <v>24.4</v>
      </c>
      <c r="W175" s="61" t="s">
        <v>456</v>
      </c>
      <c r="X175" s="7">
        <f t="shared" si="69"/>
        <v>1</v>
      </c>
      <c r="Y175" s="4">
        <v>50</v>
      </c>
      <c r="Z175" s="8">
        <v>0.25</v>
      </c>
      <c r="AA175" s="8">
        <v>1</v>
      </c>
      <c r="AB175" s="66">
        <v>50</v>
      </c>
      <c r="AC175" s="8">
        <v>1100</v>
      </c>
      <c r="AD175" s="7">
        <f t="shared" si="70"/>
        <v>0.125</v>
      </c>
      <c r="AE175" s="21">
        <f t="shared" si="66"/>
        <v>154000</v>
      </c>
      <c r="AF175" s="66">
        <v>308</v>
      </c>
      <c r="AG175" s="49">
        <f t="shared" si="81"/>
        <v>1.7236263736263735</v>
      </c>
      <c r="AH175" s="45">
        <f t="shared" si="71"/>
        <v>0.34893795985868947</v>
      </c>
      <c r="AI175" s="45">
        <f t="shared" si="72"/>
        <v>0.59426459303496815</v>
      </c>
      <c r="AJ175" s="21">
        <f t="shared" si="89"/>
        <v>154</v>
      </c>
      <c r="AK175" s="21">
        <f t="shared" si="73"/>
        <v>2.5</v>
      </c>
      <c r="AL175" s="68">
        <f t="shared" si="90"/>
        <v>2.85</v>
      </c>
      <c r="AM175" s="21">
        <f t="shared" si="86"/>
        <v>156.85</v>
      </c>
      <c r="AN175" s="41">
        <f t="shared" si="74"/>
        <v>1.7236263736263737</v>
      </c>
      <c r="AO175" s="41">
        <f t="shared" si="75"/>
        <v>0.34893795985868953</v>
      </c>
      <c r="AP175" s="41">
        <f t="shared" si="76"/>
        <v>0.59426459303496826</v>
      </c>
      <c r="AQ175" s="21">
        <f t="shared" si="77"/>
        <v>1.62</v>
      </c>
      <c r="AR175" s="21">
        <f t="shared" si="78"/>
        <v>175.56</v>
      </c>
      <c r="AS175" s="21">
        <f t="shared" si="79"/>
        <v>177.18</v>
      </c>
      <c r="AT175" s="41">
        <f t="shared" si="80"/>
        <v>2.4826687498029547</v>
      </c>
      <c r="AU175" s="4"/>
    </row>
    <row r="176" spans="1:60" x14ac:dyDescent="0.25">
      <c r="B176" s="4" t="s">
        <v>210</v>
      </c>
      <c r="C176" s="8">
        <v>200</v>
      </c>
      <c r="D176" s="4">
        <v>1000</v>
      </c>
      <c r="E176" s="8">
        <v>910</v>
      </c>
      <c r="F176" s="4">
        <v>4600</v>
      </c>
      <c r="G176" s="4">
        <v>4550</v>
      </c>
      <c r="H176" s="4">
        <v>90</v>
      </c>
      <c r="I176" s="8">
        <v>200</v>
      </c>
      <c r="J176" s="4">
        <v>90</v>
      </c>
      <c r="K176" s="8">
        <v>200</v>
      </c>
      <c r="L176" s="4">
        <v>2275</v>
      </c>
      <c r="M176" s="4">
        <f t="shared" si="87"/>
        <v>2185</v>
      </c>
      <c r="N176" s="4">
        <v>6</v>
      </c>
      <c r="O176" s="4">
        <v>20</v>
      </c>
      <c r="P176" s="21">
        <f t="shared" si="68"/>
        <v>1884.9555921538758</v>
      </c>
      <c r="Q176" s="29">
        <f t="shared" si="88"/>
        <v>1.0356898857988329E-2</v>
      </c>
      <c r="R176" s="21">
        <v>530</v>
      </c>
      <c r="S176" s="49">
        <f t="shared" si="84"/>
        <v>2.5</v>
      </c>
      <c r="T176" s="49">
        <f t="shared" si="85"/>
        <v>2.401098901098901</v>
      </c>
      <c r="U176">
        <v>20</v>
      </c>
      <c r="V176" s="4">
        <v>24.4</v>
      </c>
      <c r="W176" s="61" t="s">
        <v>456</v>
      </c>
      <c r="X176" s="7">
        <f t="shared" si="69"/>
        <v>1</v>
      </c>
      <c r="Y176" s="4">
        <v>50</v>
      </c>
      <c r="Z176" s="8">
        <v>0.25</v>
      </c>
      <c r="AA176" s="8">
        <v>1</v>
      </c>
      <c r="AB176" s="66">
        <v>50</v>
      </c>
      <c r="AC176" s="8">
        <v>1100</v>
      </c>
      <c r="AD176" s="7">
        <f t="shared" si="70"/>
        <v>0.125</v>
      </c>
      <c r="AE176" s="21">
        <f t="shared" si="66"/>
        <v>247000</v>
      </c>
      <c r="AF176" s="66">
        <v>494</v>
      </c>
      <c r="AG176" s="49">
        <f t="shared" si="81"/>
        <v>1.4196428571428572</v>
      </c>
      <c r="AH176" s="45">
        <f t="shared" si="71"/>
        <v>0.2873982957554635</v>
      </c>
      <c r="AI176" s="45">
        <f t="shared" si="72"/>
        <v>0.48945844509215786</v>
      </c>
      <c r="AJ176" s="21">
        <f>(G176-L176)/G176*AF176</f>
        <v>247</v>
      </c>
      <c r="AK176" s="21">
        <f t="shared" si="73"/>
        <v>5</v>
      </c>
      <c r="AL176" s="68">
        <f t="shared" si="90"/>
        <v>11.375</v>
      </c>
      <c r="AM176" s="21">
        <f t="shared" si="86"/>
        <v>258.375</v>
      </c>
      <c r="AN176" s="41">
        <f t="shared" si="74"/>
        <v>1.4196428571428572</v>
      </c>
      <c r="AO176" s="41">
        <f t="shared" si="75"/>
        <v>0.2873982957554635</v>
      </c>
      <c r="AP176" s="41">
        <f t="shared" si="76"/>
        <v>0.48945844509215786</v>
      </c>
      <c r="AQ176" s="21">
        <f t="shared" si="77"/>
        <v>12.937500000000004</v>
      </c>
      <c r="AR176" s="21">
        <f t="shared" si="78"/>
        <v>561.92499999999995</v>
      </c>
      <c r="AS176" s="21">
        <f t="shared" si="79"/>
        <v>574.86249999999995</v>
      </c>
      <c r="AT176" s="41">
        <f t="shared" si="80"/>
        <v>2.4449619079517482</v>
      </c>
      <c r="AU176" s="4"/>
    </row>
    <row r="177" spans="1:60" x14ac:dyDescent="0.25">
      <c r="A177" s="1"/>
      <c r="B177" s="10" t="s">
        <v>211</v>
      </c>
      <c r="C177" s="9">
        <v>200</v>
      </c>
      <c r="D177" s="10">
        <v>1000</v>
      </c>
      <c r="E177" s="9">
        <v>910</v>
      </c>
      <c r="F177" s="10">
        <v>4600</v>
      </c>
      <c r="G177" s="10">
        <v>4550</v>
      </c>
      <c r="H177" s="10">
        <v>90</v>
      </c>
      <c r="I177" s="9">
        <v>200</v>
      </c>
      <c r="J177" s="10">
        <v>90</v>
      </c>
      <c r="K177" s="9">
        <v>200</v>
      </c>
      <c r="L177" s="10">
        <v>2275</v>
      </c>
      <c r="M177" s="10">
        <f t="shared" si="87"/>
        <v>2185</v>
      </c>
      <c r="N177" s="10">
        <v>6</v>
      </c>
      <c r="O177" s="10">
        <v>20</v>
      </c>
      <c r="P177" s="27">
        <f t="shared" si="68"/>
        <v>1884.9555921538758</v>
      </c>
      <c r="Q177" s="36">
        <f t="shared" si="88"/>
        <v>1.0356898857988329E-2</v>
      </c>
      <c r="R177" s="27">
        <v>530</v>
      </c>
      <c r="S177" s="50">
        <f t="shared" si="84"/>
        <v>2.5</v>
      </c>
      <c r="T177" s="50">
        <f t="shared" si="85"/>
        <v>2.401098901098901</v>
      </c>
      <c r="U177" s="1">
        <v>20</v>
      </c>
      <c r="V177" s="10">
        <v>55</v>
      </c>
      <c r="W177" s="62" t="s">
        <v>456</v>
      </c>
      <c r="X177" s="7">
        <f t="shared" si="69"/>
        <v>1</v>
      </c>
      <c r="Y177" s="10">
        <v>50</v>
      </c>
      <c r="Z177" s="9">
        <v>0.25</v>
      </c>
      <c r="AA177" s="9">
        <v>1</v>
      </c>
      <c r="AB177" s="67">
        <v>50</v>
      </c>
      <c r="AC177" s="9">
        <v>1100</v>
      </c>
      <c r="AD177" s="7">
        <f t="shared" si="70"/>
        <v>0.125</v>
      </c>
      <c r="AE177" s="27">
        <f t="shared" si="66"/>
        <v>328000</v>
      </c>
      <c r="AF177" s="67">
        <v>656</v>
      </c>
      <c r="AG177" s="50">
        <f t="shared" si="81"/>
        <v>1.864697802197802</v>
      </c>
      <c r="AH177" s="45">
        <f t="shared" si="71"/>
        <v>0.2514358003554536</v>
      </c>
      <c r="AI177" s="45">
        <f t="shared" si="72"/>
        <v>0.49032898029560684</v>
      </c>
      <c r="AJ177" s="27">
        <f>(G177-L177)/G177*AF177</f>
        <v>328</v>
      </c>
      <c r="AK177" s="21">
        <f t="shared" si="73"/>
        <v>5</v>
      </c>
      <c r="AL177" s="69">
        <f t="shared" si="90"/>
        <v>11.375</v>
      </c>
      <c r="AM177" s="27">
        <f t="shared" si="86"/>
        <v>339.375</v>
      </c>
      <c r="AN177" s="41">
        <f t="shared" si="74"/>
        <v>1.8646978021978022</v>
      </c>
      <c r="AO177" s="41">
        <f t="shared" si="75"/>
        <v>0.2514358003554536</v>
      </c>
      <c r="AP177" s="41">
        <f t="shared" si="76"/>
        <v>0.4903289802956069</v>
      </c>
      <c r="AQ177" s="21">
        <f t="shared" si="77"/>
        <v>12.937500000000004</v>
      </c>
      <c r="AR177" s="21">
        <f t="shared" si="78"/>
        <v>746.2</v>
      </c>
      <c r="AS177" s="21">
        <f t="shared" si="79"/>
        <v>759.13750000000005</v>
      </c>
      <c r="AT177" s="41">
        <f t="shared" si="80"/>
        <v>2.4580980713577398</v>
      </c>
      <c r="AU177" s="10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</row>
    <row r="178" spans="1:60" x14ac:dyDescent="0.25">
      <c r="A178" t="s">
        <v>20</v>
      </c>
      <c r="B178" s="4" t="s">
        <v>212</v>
      </c>
      <c r="C178" s="8">
        <v>125</v>
      </c>
      <c r="D178" s="4">
        <v>250</v>
      </c>
      <c r="E178" s="8">
        <v>210</v>
      </c>
      <c r="F178" s="4">
        <v>1550</v>
      </c>
      <c r="G178" s="8">
        <v>1250</v>
      </c>
      <c r="H178" s="4">
        <v>100</v>
      </c>
      <c r="I178" s="8">
        <v>125</v>
      </c>
      <c r="J178" s="4">
        <v>100</v>
      </c>
      <c r="K178" s="8">
        <v>125</v>
      </c>
      <c r="L178" s="4">
        <v>420</v>
      </c>
      <c r="M178" s="4">
        <f t="shared" si="87"/>
        <v>320</v>
      </c>
      <c r="N178" s="4">
        <v>2</v>
      </c>
      <c r="O178" s="4">
        <v>16</v>
      </c>
      <c r="P178" s="21">
        <f t="shared" si="68"/>
        <v>402.12385965949352</v>
      </c>
      <c r="Q178" s="29">
        <f t="shared" si="88"/>
        <v>1.5319004177504515E-2</v>
      </c>
      <c r="R178" s="21">
        <v>442</v>
      </c>
      <c r="S178" s="49">
        <f t="shared" si="84"/>
        <v>2</v>
      </c>
      <c r="T178" s="49">
        <f t="shared" si="85"/>
        <v>1.5238095238095237</v>
      </c>
      <c r="U178" s="4">
        <v>19</v>
      </c>
      <c r="V178" s="4">
        <v>44.6</v>
      </c>
      <c r="W178" s="61" t="s">
        <v>456</v>
      </c>
      <c r="X178" s="7">
        <f t="shared" si="69"/>
        <v>1</v>
      </c>
      <c r="Y178" s="4">
        <v>50</v>
      </c>
      <c r="Z178" s="8">
        <v>0.5</v>
      </c>
      <c r="AA178" s="8">
        <v>0.8</v>
      </c>
      <c r="AB178" s="66">
        <v>62.5</v>
      </c>
      <c r="AC178" s="8">
        <v>1100</v>
      </c>
      <c r="AD178" s="7">
        <f t="shared" si="70"/>
        <v>0.3125</v>
      </c>
      <c r="AE178" s="21">
        <f t="shared" ref="AE178:AE241" si="91">AJ178*1000</f>
        <v>81700</v>
      </c>
      <c r="AF178" s="21">
        <f>AJ178*2</f>
        <v>163.4</v>
      </c>
      <c r="AG178" s="41">
        <f t="shared" si="81"/>
        <v>3.1257738095238095</v>
      </c>
      <c r="AH178" s="45">
        <f t="shared" si="71"/>
        <v>0.46804770339419272</v>
      </c>
      <c r="AI178" s="45">
        <f t="shared" si="72"/>
        <v>0.88141261452461894</v>
      </c>
      <c r="AJ178" s="21">
        <v>81.7</v>
      </c>
      <c r="AK178" s="21">
        <f t="shared" si="73"/>
        <v>0.78125</v>
      </c>
      <c r="AL178" s="68">
        <f>18*C178/1000*D178/1000*F178/1000-18*C178/1000*D178/1000*F178/1000*(F178/2000-(F178-G178)/2000)*1/(G178/1000)-18*C178/1000*D178/1000*(F178-G178)/2000</f>
        <v>0.3515625</v>
      </c>
      <c r="AM178" s="21">
        <f t="shared" si="86"/>
        <v>82.051562500000003</v>
      </c>
      <c r="AN178" s="41">
        <f t="shared" si="74"/>
        <v>3.1257738095238095</v>
      </c>
      <c r="AO178" s="41">
        <f t="shared" si="75"/>
        <v>0.46804770339419272</v>
      </c>
      <c r="AP178" s="41">
        <f t="shared" si="76"/>
        <v>0.88141261452461894</v>
      </c>
      <c r="AQ178" s="21">
        <f t="shared" si="77"/>
        <v>0.1273828125</v>
      </c>
      <c r="AR178" s="21">
        <f t="shared" si="78"/>
        <v>34.314</v>
      </c>
      <c r="AS178" s="21">
        <f t="shared" si="79"/>
        <v>34.441382812500002</v>
      </c>
      <c r="AT178" s="41">
        <f t="shared" si="80"/>
        <v>1.9988234205951727</v>
      </c>
      <c r="AU178" s="4"/>
    </row>
    <row r="179" spans="1:60" x14ac:dyDescent="0.25">
      <c r="A179">
        <v>2011</v>
      </c>
      <c r="B179" s="4" t="s">
        <v>213</v>
      </c>
      <c r="C179" s="8">
        <v>125</v>
      </c>
      <c r="D179" s="4">
        <v>250</v>
      </c>
      <c r="E179" s="8">
        <v>210</v>
      </c>
      <c r="F179" s="4">
        <v>2400</v>
      </c>
      <c r="G179" s="8">
        <v>2100</v>
      </c>
      <c r="H179" s="4">
        <v>100</v>
      </c>
      <c r="I179" s="8">
        <v>125</v>
      </c>
      <c r="J179" s="4">
        <v>100</v>
      </c>
      <c r="K179" s="8">
        <v>125</v>
      </c>
      <c r="L179" s="4">
        <v>840</v>
      </c>
      <c r="M179" s="4">
        <f t="shared" si="87"/>
        <v>740</v>
      </c>
      <c r="N179" s="4">
        <v>2</v>
      </c>
      <c r="O179" s="4">
        <v>16</v>
      </c>
      <c r="P179" s="21">
        <f t="shared" si="68"/>
        <v>402.12385965949352</v>
      </c>
      <c r="Q179" s="29">
        <f t="shared" si="88"/>
        <v>1.5319004177504515E-2</v>
      </c>
      <c r="R179" s="21">
        <v>442</v>
      </c>
      <c r="S179" s="49">
        <f t="shared" si="84"/>
        <v>4</v>
      </c>
      <c r="T179" s="49">
        <f t="shared" si="85"/>
        <v>3.5238095238095237</v>
      </c>
      <c r="U179" s="4">
        <v>19</v>
      </c>
      <c r="V179" s="4">
        <v>44.6</v>
      </c>
      <c r="W179" s="61" t="s">
        <v>456</v>
      </c>
      <c r="X179" s="7">
        <f t="shared" si="69"/>
        <v>1</v>
      </c>
      <c r="Y179" s="4">
        <v>50</v>
      </c>
      <c r="Z179" s="8">
        <v>0.5</v>
      </c>
      <c r="AA179" s="8">
        <v>0.8</v>
      </c>
      <c r="AB179" s="66">
        <v>62.5</v>
      </c>
      <c r="AC179" s="8">
        <v>1100</v>
      </c>
      <c r="AD179" s="7">
        <f t="shared" si="70"/>
        <v>0.3125</v>
      </c>
      <c r="AE179" s="21">
        <f t="shared" si="91"/>
        <v>35400</v>
      </c>
      <c r="AF179" s="21">
        <f t="shared" ref="AF179:AF227" si="92">AJ179*2</f>
        <v>70.8</v>
      </c>
      <c r="AG179" s="41">
        <f t="shared" si="81"/>
        <v>1.3710714285714285</v>
      </c>
      <c r="AH179" s="45">
        <f t="shared" si="71"/>
        <v>0.20530175004250062</v>
      </c>
      <c r="AI179" s="45">
        <f t="shared" si="72"/>
        <v>0.38661775489802663</v>
      </c>
      <c r="AJ179" s="21">
        <v>35.4</v>
      </c>
      <c r="AK179" s="21">
        <f t="shared" si="73"/>
        <v>0.78125</v>
      </c>
      <c r="AL179" s="68">
        <f>18*C179/1000*D179/1000*F179/1000-18*C179/1000*D179/1000*F179/1000*(F179/2000-(F179-G179)/2000)*1/(G179/1000)-18*C179/1000*D179/1000*(F179-G179)/2000</f>
        <v>0.59062500000000007</v>
      </c>
      <c r="AM179" s="21">
        <f t="shared" si="86"/>
        <v>35.990625000000001</v>
      </c>
      <c r="AN179" s="41">
        <f t="shared" si="74"/>
        <v>1.3710714285714285</v>
      </c>
      <c r="AO179" s="41">
        <f t="shared" si="75"/>
        <v>0.20530175004250062</v>
      </c>
      <c r="AP179" s="41">
        <f t="shared" si="76"/>
        <v>0.38661775489802663</v>
      </c>
      <c r="AQ179" s="21">
        <f t="shared" si="77"/>
        <v>0.40464843750000001</v>
      </c>
      <c r="AR179" s="21">
        <f t="shared" si="78"/>
        <v>29.736000000000001</v>
      </c>
      <c r="AS179" s="21">
        <f t="shared" si="79"/>
        <v>30.140648437500001</v>
      </c>
      <c r="AT179" s="41">
        <f t="shared" si="80"/>
        <v>3.987896773713393</v>
      </c>
      <c r="AU179" s="4"/>
    </row>
    <row r="180" spans="1:60" x14ac:dyDescent="0.25">
      <c r="A180" s="1"/>
      <c r="B180" s="10" t="s">
        <v>214</v>
      </c>
      <c r="C180" s="9">
        <v>125</v>
      </c>
      <c r="D180" s="10">
        <v>250</v>
      </c>
      <c r="E180" s="9">
        <v>210</v>
      </c>
      <c r="F180" s="10">
        <v>1550</v>
      </c>
      <c r="G180" s="9">
        <v>1250</v>
      </c>
      <c r="H180" s="10">
        <v>100</v>
      </c>
      <c r="I180" s="9">
        <v>125</v>
      </c>
      <c r="J180" s="10">
        <v>100</v>
      </c>
      <c r="K180" s="9">
        <v>125</v>
      </c>
      <c r="L180" s="10">
        <v>420</v>
      </c>
      <c r="M180" s="10">
        <f t="shared" si="87"/>
        <v>320</v>
      </c>
      <c r="N180" s="10">
        <v>2</v>
      </c>
      <c r="O180" s="10">
        <v>16</v>
      </c>
      <c r="P180" s="27">
        <f t="shared" si="68"/>
        <v>402.12385965949352</v>
      </c>
      <c r="Q180" s="36">
        <f t="shared" si="88"/>
        <v>1.5319004177504515E-2</v>
      </c>
      <c r="R180" s="27">
        <v>442</v>
      </c>
      <c r="S180" s="50">
        <f t="shared" si="84"/>
        <v>2</v>
      </c>
      <c r="T180" s="50">
        <f t="shared" si="85"/>
        <v>1.5238095238095237</v>
      </c>
      <c r="U180" s="10">
        <v>19</v>
      </c>
      <c r="V180" s="10">
        <v>57.2</v>
      </c>
      <c r="W180" s="62" t="s">
        <v>456</v>
      </c>
      <c r="X180" s="7">
        <f t="shared" si="69"/>
        <v>1</v>
      </c>
      <c r="Y180" s="10">
        <v>50</v>
      </c>
      <c r="Z180" s="9">
        <v>0.5</v>
      </c>
      <c r="AA180" s="9">
        <v>0.8</v>
      </c>
      <c r="AB180" s="67">
        <v>62.5</v>
      </c>
      <c r="AC180" s="9">
        <v>1100</v>
      </c>
      <c r="AD180" s="7">
        <f t="shared" si="70"/>
        <v>0.3125</v>
      </c>
      <c r="AE180" s="27">
        <f t="shared" si="91"/>
        <v>77200</v>
      </c>
      <c r="AF180" s="27">
        <f t="shared" si="92"/>
        <v>154.4</v>
      </c>
      <c r="AG180" s="48">
        <f t="shared" si="81"/>
        <v>2.9595535714285717</v>
      </c>
      <c r="AH180" s="45">
        <f t="shared" si="71"/>
        <v>0.39131652771491821</v>
      </c>
      <c r="AI180" s="45">
        <f t="shared" si="72"/>
        <v>0.7681172693969428</v>
      </c>
      <c r="AJ180" s="27">
        <v>77.2</v>
      </c>
      <c r="AK180" s="21">
        <f t="shared" si="73"/>
        <v>0.78125</v>
      </c>
      <c r="AL180" s="69">
        <f t="shared" ref="AL180:AL243" si="93">25*C180/1000*D180/1000*F180/1000-25*C180/1000*D180/1000*F180/1000*(F180/2000-(F180-G180)/2000)*1/(G180/1000)-25*C180/1000*D180/1000*(F180-G180)/2000</f>
        <v>0.48828125</v>
      </c>
      <c r="AM180" s="27">
        <f t="shared" si="86"/>
        <v>77.688281250000003</v>
      </c>
      <c r="AN180" s="41">
        <f t="shared" si="74"/>
        <v>2.9595535714285712</v>
      </c>
      <c r="AO180" s="41">
        <f t="shared" si="75"/>
        <v>0.39131652771491815</v>
      </c>
      <c r="AP180" s="41">
        <f t="shared" si="76"/>
        <v>0.76811726939694269</v>
      </c>
      <c r="AQ180" s="21">
        <f t="shared" si="77"/>
        <v>0.1273828125</v>
      </c>
      <c r="AR180" s="21">
        <f t="shared" si="78"/>
        <v>32.423999999999999</v>
      </c>
      <c r="AS180" s="21">
        <f t="shared" si="79"/>
        <v>32.551382812500002</v>
      </c>
      <c r="AT180" s="41">
        <f t="shared" si="80"/>
        <v>1.9952376642574852</v>
      </c>
      <c r="AU180" s="10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</row>
    <row r="181" spans="1:60" x14ac:dyDescent="0.25">
      <c r="A181" t="s">
        <v>21</v>
      </c>
      <c r="B181" s="4" t="s">
        <v>198</v>
      </c>
      <c r="C181" s="8">
        <v>125</v>
      </c>
      <c r="D181" s="4">
        <v>250</v>
      </c>
      <c r="E181" s="8">
        <v>225</v>
      </c>
      <c r="F181" s="4">
        <v>2300</v>
      </c>
      <c r="G181" s="8">
        <v>2000</v>
      </c>
      <c r="H181" s="4">
        <v>100</v>
      </c>
      <c r="I181" s="8">
        <v>125</v>
      </c>
      <c r="J181" s="4">
        <v>100</v>
      </c>
      <c r="K181" s="8">
        <v>125</v>
      </c>
      <c r="L181" s="4">
        <v>650</v>
      </c>
      <c r="M181" s="4">
        <f t="shared" si="87"/>
        <v>550</v>
      </c>
      <c r="N181" s="4">
        <v>2</v>
      </c>
      <c r="O181" s="4">
        <v>25</v>
      </c>
      <c r="P181" s="21">
        <f t="shared" si="68"/>
        <v>981.74770424681037</v>
      </c>
      <c r="Q181" s="29">
        <f t="shared" si="88"/>
        <v>3.4906585039886591E-2</v>
      </c>
      <c r="R181" s="21">
        <v>540</v>
      </c>
      <c r="S181" s="49">
        <f t="shared" si="84"/>
        <v>2.8888888888888888</v>
      </c>
      <c r="T181" s="49">
        <f t="shared" si="85"/>
        <v>2.4444444444444446</v>
      </c>
      <c r="U181" s="4">
        <v>10</v>
      </c>
      <c r="V181" s="4">
        <v>90</v>
      </c>
      <c r="W181" s="61" t="s">
        <v>456</v>
      </c>
      <c r="X181" s="7">
        <f t="shared" si="69"/>
        <v>1</v>
      </c>
      <c r="Y181" s="4">
        <v>30</v>
      </c>
      <c r="Z181" s="8">
        <v>1.25</v>
      </c>
      <c r="AA181" s="8">
        <v>0.5</v>
      </c>
      <c r="AB181" s="66">
        <v>60</v>
      </c>
      <c r="AC181" s="8">
        <v>1200</v>
      </c>
      <c r="AD181" s="7">
        <f t="shared" si="70"/>
        <v>0.75</v>
      </c>
      <c r="AE181" s="68">
        <f t="shared" si="91"/>
        <v>138000</v>
      </c>
      <c r="AF181" s="21">
        <f t="shared" si="92"/>
        <v>276</v>
      </c>
      <c r="AG181" s="49">
        <f t="shared" si="81"/>
        <v>4.9344444444444449</v>
      </c>
      <c r="AH181" s="45">
        <f t="shared" si="71"/>
        <v>0.52013611440028795</v>
      </c>
      <c r="AI181" s="45">
        <f t="shared" si="72"/>
        <v>1.1010932338203392</v>
      </c>
      <c r="AJ181" s="68">
        <v>138</v>
      </c>
      <c r="AK181" s="21">
        <f t="shared" si="73"/>
        <v>0.78125</v>
      </c>
      <c r="AL181" s="21">
        <f t="shared" si="93"/>
        <v>0.78125000000000011</v>
      </c>
      <c r="AM181" s="68">
        <f t="shared" si="86"/>
        <v>138.78125</v>
      </c>
      <c r="AN181" s="41">
        <f t="shared" si="74"/>
        <v>4.9344444444444449</v>
      </c>
      <c r="AO181" s="41">
        <f t="shared" si="75"/>
        <v>0.52013611440028795</v>
      </c>
      <c r="AP181" s="41">
        <f t="shared" si="76"/>
        <v>1.1010932338203392</v>
      </c>
      <c r="AQ181" s="21">
        <f t="shared" si="77"/>
        <v>0.33398437499999994</v>
      </c>
      <c r="AR181" s="21">
        <f t="shared" si="78"/>
        <v>89.7</v>
      </c>
      <c r="AS181" s="21">
        <f t="shared" si="79"/>
        <v>90.033984375000003</v>
      </c>
      <c r="AT181" s="41">
        <f t="shared" si="80"/>
        <v>2.883322074607821</v>
      </c>
      <c r="AU181" s="4"/>
    </row>
    <row r="182" spans="1:60" x14ac:dyDescent="0.25">
      <c r="A182" s="1">
        <v>1999</v>
      </c>
      <c r="B182" s="10" t="s">
        <v>215</v>
      </c>
      <c r="C182" s="9">
        <v>125</v>
      </c>
      <c r="D182" s="10">
        <v>250</v>
      </c>
      <c r="E182" s="9">
        <v>225</v>
      </c>
      <c r="F182" s="10">
        <v>2300</v>
      </c>
      <c r="G182" s="9">
        <v>2000</v>
      </c>
      <c r="H182" s="10">
        <v>100</v>
      </c>
      <c r="I182" s="9">
        <v>125</v>
      </c>
      <c r="J182" s="10">
        <v>100</v>
      </c>
      <c r="K182" s="9">
        <v>125</v>
      </c>
      <c r="L182" s="10">
        <v>650</v>
      </c>
      <c r="M182" s="10">
        <f t="shared" si="87"/>
        <v>550</v>
      </c>
      <c r="N182" s="10">
        <v>2</v>
      </c>
      <c r="O182" s="10">
        <v>25</v>
      </c>
      <c r="P182" s="27">
        <f t="shared" si="68"/>
        <v>981.74770424681037</v>
      </c>
      <c r="Q182" s="36">
        <f t="shared" si="88"/>
        <v>3.4906585039886591E-2</v>
      </c>
      <c r="R182" s="27">
        <v>540</v>
      </c>
      <c r="S182" s="50">
        <f t="shared" si="84"/>
        <v>2.8888888888888888</v>
      </c>
      <c r="T182" s="50">
        <f t="shared" si="85"/>
        <v>2.4444444444444446</v>
      </c>
      <c r="U182" s="10">
        <v>10</v>
      </c>
      <c r="V182" s="10">
        <v>90</v>
      </c>
      <c r="W182" s="62" t="s">
        <v>456</v>
      </c>
      <c r="X182" s="7">
        <f t="shared" si="69"/>
        <v>1</v>
      </c>
      <c r="Y182" s="10">
        <v>30</v>
      </c>
      <c r="Z182" s="9">
        <v>1.25</v>
      </c>
      <c r="AA182" s="9">
        <v>0.5</v>
      </c>
      <c r="AB182" s="67">
        <v>60</v>
      </c>
      <c r="AC182" s="9">
        <v>1200</v>
      </c>
      <c r="AD182" s="7">
        <f t="shared" si="70"/>
        <v>0.75</v>
      </c>
      <c r="AE182" s="69">
        <f t="shared" si="91"/>
        <v>138000</v>
      </c>
      <c r="AF182" s="27">
        <f t="shared" si="92"/>
        <v>276</v>
      </c>
      <c r="AG182" s="50">
        <f t="shared" si="81"/>
        <v>4.9344444444444449</v>
      </c>
      <c r="AH182" s="45">
        <f t="shared" si="71"/>
        <v>0.52013611440028795</v>
      </c>
      <c r="AI182" s="45">
        <f t="shared" si="72"/>
        <v>1.1010932338203392</v>
      </c>
      <c r="AJ182" s="69">
        <v>138</v>
      </c>
      <c r="AK182" s="21">
        <f t="shared" si="73"/>
        <v>0.78125</v>
      </c>
      <c r="AL182" s="27">
        <f t="shared" si="93"/>
        <v>0.78125000000000011</v>
      </c>
      <c r="AM182" s="69">
        <f t="shared" si="86"/>
        <v>138.78125</v>
      </c>
      <c r="AN182" s="41">
        <f t="shared" si="74"/>
        <v>4.9344444444444449</v>
      </c>
      <c r="AO182" s="41">
        <f t="shared" si="75"/>
        <v>0.52013611440028795</v>
      </c>
      <c r="AP182" s="41">
        <f t="shared" si="76"/>
        <v>1.1010932338203392</v>
      </c>
      <c r="AQ182" s="21">
        <f t="shared" si="77"/>
        <v>0.33398437499999994</v>
      </c>
      <c r="AR182" s="21">
        <f t="shared" si="78"/>
        <v>89.7</v>
      </c>
      <c r="AS182" s="21">
        <f t="shared" si="79"/>
        <v>90.033984375000003</v>
      </c>
      <c r="AT182" s="41">
        <f t="shared" si="80"/>
        <v>2.883322074607821</v>
      </c>
      <c r="AU182" s="10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</row>
    <row r="183" spans="1:60" x14ac:dyDescent="0.25">
      <c r="A183" t="s">
        <v>22</v>
      </c>
      <c r="B183" s="4" t="s">
        <v>216</v>
      </c>
      <c r="C183" s="8">
        <v>152</v>
      </c>
      <c r="D183" s="4">
        <v>254</v>
      </c>
      <c r="E183">
        <v>221</v>
      </c>
      <c r="F183" s="4">
        <v>2500</v>
      </c>
      <c r="G183" s="8">
        <v>2100</v>
      </c>
      <c r="H183" s="4">
        <v>10</v>
      </c>
      <c r="I183" s="8">
        <v>152</v>
      </c>
      <c r="J183" s="4">
        <v>10</v>
      </c>
      <c r="K183" s="8">
        <v>152</v>
      </c>
      <c r="L183">
        <f>2.5*E183</f>
        <v>552.5</v>
      </c>
      <c r="M183">
        <f t="shared" si="87"/>
        <v>542.5</v>
      </c>
      <c r="N183" s="4">
        <v>2</v>
      </c>
      <c r="O183" s="4">
        <v>16</v>
      </c>
      <c r="P183" s="21">
        <f t="shared" si="68"/>
        <v>402.12385965949352</v>
      </c>
      <c r="Q183" s="29">
        <f t="shared" si="88"/>
        <v>1.1970822209439555E-2</v>
      </c>
      <c r="R183" s="21">
        <v>448</v>
      </c>
      <c r="S183" s="41">
        <f t="shared" si="84"/>
        <v>2.5</v>
      </c>
      <c r="T183" s="41">
        <f t="shared" si="85"/>
        <v>2.4547511312217196</v>
      </c>
      <c r="U183" s="4">
        <v>10</v>
      </c>
      <c r="V183" s="4">
        <v>34</v>
      </c>
      <c r="W183" s="61" t="s">
        <v>456</v>
      </c>
      <c r="X183" s="7">
        <f t="shared" si="69"/>
        <v>1</v>
      </c>
      <c r="Y183" s="4">
        <v>30</v>
      </c>
      <c r="Z183">
        <v>0.5</v>
      </c>
      <c r="AA183" s="8">
        <v>0.5</v>
      </c>
      <c r="AB183" s="66">
        <v>60</v>
      </c>
      <c r="AC183" s="8">
        <v>1130</v>
      </c>
      <c r="AD183" s="7">
        <f t="shared" si="70"/>
        <v>0.3</v>
      </c>
      <c r="AE183" s="68">
        <f t="shared" si="91"/>
        <v>58000</v>
      </c>
      <c r="AF183" s="68">
        <f t="shared" si="92"/>
        <v>116</v>
      </c>
      <c r="AG183" s="49">
        <f t="shared" si="81"/>
        <v>1.7567712550607288</v>
      </c>
      <c r="AH183" s="45">
        <f t="shared" si="71"/>
        <v>0.3012837846619445</v>
      </c>
      <c r="AI183" s="45">
        <f t="shared" si="72"/>
        <v>0.54227832309043233</v>
      </c>
      <c r="AJ183" s="68">
        <v>58</v>
      </c>
      <c r="AK183" s="21">
        <f t="shared" si="73"/>
        <v>0.96519999999999995</v>
      </c>
      <c r="AL183" s="21">
        <f t="shared" si="93"/>
        <v>1.0134599999999998</v>
      </c>
      <c r="AM183" s="68">
        <f t="shared" si="86"/>
        <v>59.013460000000002</v>
      </c>
      <c r="AN183" s="41">
        <f t="shared" si="74"/>
        <v>1.7567712550607286</v>
      </c>
      <c r="AO183" s="41">
        <f t="shared" si="75"/>
        <v>0.30128378466194444</v>
      </c>
      <c r="AP183" s="41">
        <f t="shared" si="76"/>
        <v>0.54227832309043233</v>
      </c>
      <c r="AQ183" s="21">
        <f t="shared" si="77"/>
        <v>0.39331598375000004</v>
      </c>
      <c r="AR183" s="21">
        <f t="shared" si="78"/>
        <v>32.045000000000002</v>
      </c>
      <c r="AS183" s="21">
        <f t="shared" si="79"/>
        <v>32.438315983750002</v>
      </c>
      <c r="AT183" s="41">
        <f t="shared" si="80"/>
        <v>2.4872242761856436</v>
      </c>
      <c r="AU183" s="4"/>
      <c r="AZ183" s="4"/>
    </row>
    <row r="184" spans="1:60" x14ac:dyDescent="0.25">
      <c r="A184">
        <v>1987</v>
      </c>
      <c r="B184" s="4" t="s">
        <v>217</v>
      </c>
      <c r="C184" s="8">
        <v>152</v>
      </c>
      <c r="D184" s="4">
        <v>254</v>
      </c>
      <c r="E184" s="8">
        <v>221</v>
      </c>
      <c r="F184" s="4">
        <v>2000</v>
      </c>
      <c r="G184" s="8">
        <v>1600</v>
      </c>
      <c r="H184" s="4">
        <v>10</v>
      </c>
      <c r="I184" s="8">
        <v>152</v>
      </c>
      <c r="J184" s="4">
        <v>10</v>
      </c>
      <c r="K184" s="8">
        <v>152</v>
      </c>
      <c r="L184">
        <f>1.5*E184</f>
        <v>331.5</v>
      </c>
      <c r="M184">
        <f t="shared" si="87"/>
        <v>321.5</v>
      </c>
      <c r="N184" s="4">
        <v>4</v>
      </c>
      <c r="O184" s="4">
        <v>16</v>
      </c>
      <c r="P184" s="21">
        <f t="shared" si="68"/>
        <v>804.24771931898704</v>
      </c>
      <c r="Q184" s="29">
        <f t="shared" si="88"/>
        <v>2.394164441887911E-2</v>
      </c>
      <c r="R184" s="21">
        <v>448</v>
      </c>
      <c r="S184" s="41">
        <f t="shared" si="84"/>
        <v>1.5</v>
      </c>
      <c r="T184" s="41">
        <f t="shared" si="85"/>
        <v>1.4547511312217194</v>
      </c>
      <c r="U184" s="4">
        <v>10</v>
      </c>
      <c r="V184" s="4">
        <v>34</v>
      </c>
      <c r="W184" s="61" t="s">
        <v>456</v>
      </c>
      <c r="X184" s="7">
        <f t="shared" si="69"/>
        <v>1</v>
      </c>
      <c r="Y184" s="4">
        <v>30</v>
      </c>
      <c r="Z184" s="8">
        <v>1</v>
      </c>
      <c r="AA184" s="8">
        <v>0.5</v>
      </c>
      <c r="AB184" s="66">
        <v>60</v>
      </c>
      <c r="AC184" s="8">
        <v>1130</v>
      </c>
      <c r="AD184" s="7">
        <f t="shared" si="70"/>
        <v>0.6</v>
      </c>
      <c r="AE184" s="68">
        <f t="shared" si="91"/>
        <v>147500</v>
      </c>
      <c r="AF184" s="68">
        <f t="shared" si="92"/>
        <v>295</v>
      </c>
      <c r="AG184" s="49">
        <f t="shared" si="81"/>
        <v>4.413912836389617</v>
      </c>
      <c r="AH184" s="45">
        <f t="shared" si="71"/>
        <v>0.75697980638317741</v>
      </c>
      <c r="AI184" s="45">
        <f t="shared" si="72"/>
        <v>1.3624820216573692</v>
      </c>
      <c r="AJ184" s="68">
        <v>147.5</v>
      </c>
      <c r="AK184" s="21">
        <f t="shared" si="73"/>
        <v>0.96519999999999995</v>
      </c>
      <c r="AL184" s="21">
        <f t="shared" si="93"/>
        <v>0.77215999999999996</v>
      </c>
      <c r="AM184" s="68">
        <f t="shared" si="86"/>
        <v>148.27216000000001</v>
      </c>
      <c r="AN184" s="41">
        <f t="shared" si="74"/>
        <v>4.413912836389617</v>
      </c>
      <c r="AO184" s="41">
        <f t="shared" si="75"/>
        <v>0.75697980638317741</v>
      </c>
      <c r="AP184" s="41">
        <f t="shared" si="76"/>
        <v>1.3624820216573692</v>
      </c>
      <c r="AQ184" s="21">
        <f t="shared" si="77"/>
        <v>0.18363304014999993</v>
      </c>
      <c r="AR184" s="21">
        <f t="shared" si="78"/>
        <v>48.896250000000002</v>
      </c>
      <c r="AS184" s="21">
        <f t="shared" si="79"/>
        <v>49.079883040150001</v>
      </c>
      <c r="AT184" s="41">
        <f t="shared" si="80"/>
        <v>1.4977924293657718</v>
      </c>
      <c r="AU184" s="4"/>
    </row>
    <row r="185" spans="1:60" x14ac:dyDescent="0.25">
      <c r="B185" s="4" t="s">
        <v>218</v>
      </c>
      <c r="C185" s="8">
        <v>152</v>
      </c>
      <c r="D185" s="4">
        <v>254</v>
      </c>
      <c r="E185" s="8">
        <v>221</v>
      </c>
      <c r="F185" s="4">
        <v>2500</v>
      </c>
      <c r="G185" s="8">
        <v>2100</v>
      </c>
      <c r="H185" s="4">
        <v>10</v>
      </c>
      <c r="I185" s="8">
        <v>152</v>
      </c>
      <c r="J185" s="4">
        <v>10</v>
      </c>
      <c r="K185" s="8">
        <v>152</v>
      </c>
      <c r="L185">
        <f>2.5*E185</f>
        <v>552.5</v>
      </c>
      <c r="M185">
        <f t="shared" si="87"/>
        <v>542.5</v>
      </c>
      <c r="N185" s="4">
        <v>4</v>
      </c>
      <c r="O185" s="4">
        <v>16</v>
      </c>
      <c r="P185" s="21">
        <f t="shared" si="68"/>
        <v>804.24771931898704</v>
      </c>
      <c r="Q185" s="29">
        <f t="shared" si="88"/>
        <v>2.394164441887911E-2</v>
      </c>
      <c r="R185" s="21">
        <v>448</v>
      </c>
      <c r="S185" s="41">
        <f t="shared" si="84"/>
        <v>2.5</v>
      </c>
      <c r="T185" s="41">
        <f t="shared" si="85"/>
        <v>2.4547511312217196</v>
      </c>
      <c r="U185" s="4">
        <v>10</v>
      </c>
      <c r="V185" s="4">
        <v>34</v>
      </c>
      <c r="W185" s="61" t="s">
        <v>456</v>
      </c>
      <c r="X185" s="7">
        <f t="shared" si="69"/>
        <v>1</v>
      </c>
      <c r="Y185" s="4">
        <v>30</v>
      </c>
      <c r="Z185" s="8">
        <v>1</v>
      </c>
      <c r="AA185" s="8">
        <v>0.5</v>
      </c>
      <c r="AB185" s="66">
        <v>60</v>
      </c>
      <c r="AC185" s="8">
        <v>1130</v>
      </c>
      <c r="AD185" s="7">
        <f t="shared" si="70"/>
        <v>0.6</v>
      </c>
      <c r="AE185" s="68">
        <f t="shared" si="91"/>
        <v>82600</v>
      </c>
      <c r="AF185" s="68">
        <f t="shared" si="92"/>
        <v>165.2</v>
      </c>
      <c r="AG185" s="49">
        <f t="shared" si="81"/>
        <v>2.4890884734460585</v>
      </c>
      <c r="AH185" s="45">
        <f t="shared" si="71"/>
        <v>0.42687515149052618</v>
      </c>
      <c r="AI185" s="45">
        <f t="shared" si="72"/>
        <v>0.76832924008504067</v>
      </c>
      <c r="AJ185" s="68">
        <v>82.6</v>
      </c>
      <c r="AK185" s="21">
        <f t="shared" si="73"/>
        <v>0.96519999999999995</v>
      </c>
      <c r="AL185" s="21">
        <f t="shared" si="93"/>
        <v>1.0134599999999998</v>
      </c>
      <c r="AM185" s="68">
        <f t="shared" si="86"/>
        <v>83.613459999999989</v>
      </c>
      <c r="AN185" s="41">
        <f t="shared" si="74"/>
        <v>2.4890884734460585</v>
      </c>
      <c r="AO185" s="41">
        <f t="shared" si="75"/>
        <v>0.42687515149052618</v>
      </c>
      <c r="AP185" s="41">
        <f t="shared" si="76"/>
        <v>0.76832924008504067</v>
      </c>
      <c r="AQ185" s="21">
        <f t="shared" si="77"/>
        <v>0.39331598375000004</v>
      </c>
      <c r="AR185" s="21">
        <f t="shared" si="78"/>
        <v>45.636499999999998</v>
      </c>
      <c r="AS185" s="21">
        <f t="shared" si="79"/>
        <v>46.029815983749998</v>
      </c>
      <c r="AT185" s="41">
        <f t="shared" si="80"/>
        <v>2.4909830347136741</v>
      </c>
      <c r="AU185" s="4"/>
    </row>
    <row r="186" spans="1:60" x14ac:dyDescent="0.25">
      <c r="B186" s="4" t="s">
        <v>219</v>
      </c>
      <c r="C186" s="8">
        <v>152</v>
      </c>
      <c r="D186" s="4">
        <v>254</v>
      </c>
      <c r="E186" s="8">
        <v>221</v>
      </c>
      <c r="F186" s="4">
        <v>2500</v>
      </c>
      <c r="G186" s="8">
        <v>2100</v>
      </c>
      <c r="H186" s="4">
        <v>10</v>
      </c>
      <c r="I186" s="8">
        <v>152</v>
      </c>
      <c r="J186" s="4">
        <v>10</v>
      </c>
      <c r="K186" s="8">
        <v>152</v>
      </c>
      <c r="L186">
        <f>3.5*E186</f>
        <v>773.5</v>
      </c>
      <c r="M186">
        <f t="shared" si="87"/>
        <v>763.5</v>
      </c>
      <c r="N186" s="4">
        <v>4</v>
      </c>
      <c r="O186" s="4">
        <v>16</v>
      </c>
      <c r="P186" s="21">
        <f t="shared" si="68"/>
        <v>804.24771931898704</v>
      </c>
      <c r="Q186" s="29">
        <f t="shared" si="88"/>
        <v>2.394164441887911E-2</v>
      </c>
      <c r="R186" s="21">
        <v>448</v>
      </c>
      <c r="S186" s="41">
        <f t="shared" si="84"/>
        <v>3.5</v>
      </c>
      <c r="T186" s="41">
        <f t="shared" si="85"/>
        <v>3.4547511312217196</v>
      </c>
      <c r="U186" s="4">
        <v>10</v>
      </c>
      <c r="V186" s="4">
        <v>34</v>
      </c>
      <c r="W186" s="61" t="s">
        <v>456</v>
      </c>
      <c r="X186" s="7">
        <f t="shared" si="69"/>
        <v>1</v>
      </c>
      <c r="Y186" s="4">
        <v>30</v>
      </c>
      <c r="Z186" s="8">
        <v>1</v>
      </c>
      <c r="AA186" s="8">
        <v>0.5</v>
      </c>
      <c r="AB186" s="66">
        <v>60</v>
      </c>
      <c r="AC186" s="8">
        <v>1130</v>
      </c>
      <c r="AD186" s="7">
        <f t="shared" si="70"/>
        <v>0.6</v>
      </c>
      <c r="AE186" s="68">
        <f t="shared" si="91"/>
        <v>67400</v>
      </c>
      <c r="AF186" s="68">
        <f t="shared" si="92"/>
        <v>134.80000000000001</v>
      </c>
      <c r="AG186" s="49">
        <f t="shared" si="81"/>
        <v>2.0365997856632534</v>
      </c>
      <c r="AH186" s="45">
        <f t="shared" si="71"/>
        <v>0.34927398174278468</v>
      </c>
      <c r="AI186" s="45">
        <f t="shared" si="72"/>
        <v>0.6286555027550389</v>
      </c>
      <c r="AJ186" s="68">
        <v>67.400000000000006</v>
      </c>
      <c r="AK186" s="21">
        <f t="shared" si="73"/>
        <v>0.96519999999999995</v>
      </c>
      <c r="AL186" s="21">
        <f t="shared" si="93"/>
        <v>1.0134599999999998</v>
      </c>
      <c r="AM186" s="68">
        <f t="shared" si="86"/>
        <v>68.413460000000001</v>
      </c>
      <c r="AN186" s="41">
        <f t="shared" si="74"/>
        <v>2.0365997856632534</v>
      </c>
      <c r="AO186" s="41">
        <f t="shared" si="75"/>
        <v>0.34927398174278468</v>
      </c>
      <c r="AP186" s="41">
        <f t="shared" si="76"/>
        <v>0.6286555027550389</v>
      </c>
      <c r="AQ186" s="21">
        <f t="shared" si="77"/>
        <v>0.47586664414999991</v>
      </c>
      <c r="AR186" s="21">
        <f t="shared" si="78"/>
        <v>52.133900000000004</v>
      </c>
      <c r="AS186" s="21">
        <f t="shared" si="79"/>
        <v>52.609766644150007</v>
      </c>
      <c r="AT186" s="41">
        <f t="shared" si="80"/>
        <v>3.4796258328947323</v>
      </c>
      <c r="AU186" s="4"/>
    </row>
    <row r="187" spans="1:60" x14ac:dyDescent="0.25">
      <c r="B187" s="4" t="s">
        <v>220</v>
      </c>
      <c r="C187" s="8">
        <v>152</v>
      </c>
      <c r="D187" s="4">
        <v>254</v>
      </c>
      <c r="E187" s="8">
        <v>221</v>
      </c>
      <c r="F187" s="4">
        <v>2000</v>
      </c>
      <c r="G187" s="8">
        <v>1600</v>
      </c>
      <c r="H187" s="4">
        <v>10</v>
      </c>
      <c r="I187" s="8">
        <v>152</v>
      </c>
      <c r="J187" s="4">
        <v>10</v>
      </c>
      <c r="K187" s="8">
        <v>152</v>
      </c>
      <c r="L187">
        <f>1.5*E187</f>
        <v>331.5</v>
      </c>
      <c r="M187">
        <f t="shared" si="87"/>
        <v>321.5</v>
      </c>
      <c r="N187" s="4">
        <v>4</v>
      </c>
      <c r="O187" s="4">
        <v>16</v>
      </c>
      <c r="P187" s="21">
        <f t="shared" si="68"/>
        <v>804.24771931898704</v>
      </c>
      <c r="Q187" s="29">
        <f t="shared" si="88"/>
        <v>2.394164441887911E-2</v>
      </c>
      <c r="R187" s="21">
        <v>448</v>
      </c>
      <c r="S187" s="41">
        <f t="shared" si="84"/>
        <v>1.5</v>
      </c>
      <c r="T187" s="41">
        <f t="shared" si="85"/>
        <v>1.4547511312217194</v>
      </c>
      <c r="U187" s="4">
        <v>10</v>
      </c>
      <c r="V187" s="4">
        <v>34</v>
      </c>
      <c r="W187" s="61" t="s">
        <v>456</v>
      </c>
      <c r="X187" s="7">
        <f t="shared" si="69"/>
        <v>1</v>
      </c>
      <c r="Y187" s="4">
        <v>30</v>
      </c>
      <c r="Z187" s="8">
        <v>0.5</v>
      </c>
      <c r="AA187" s="8">
        <v>0.5</v>
      </c>
      <c r="AB187" s="66">
        <v>60</v>
      </c>
      <c r="AC187" s="8">
        <v>1130</v>
      </c>
      <c r="AD187" s="7">
        <f t="shared" si="70"/>
        <v>0.3</v>
      </c>
      <c r="AE187" s="68">
        <f t="shared" si="91"/>
        <v>135000</v>
      </c>
      <c r="AF187" s="68">
        <f t="shared" si="92"/>
        <v>270</v>
      </c>
      <c r="AG187" s="49">
        <f t="shared" si="81"/>
        <v>4.0418004286734943</v>
      </c>
      <c r="AH187" s="45">
        <f t="shared" si="71"/>
        <v>0.69316305494588992</v>
      </c>
      <c r="AI187" s="45">
        <f t="shared" si="72"/>
        <v>1.2476187508267755</v>
      </c>
      <c r="AJ187" s="68">
        <v>135</v>
      </c>
      <c r="AK187" s="21">
        <f t="shared" si="73"/>
        <v>0.96519999999999995</v>
      </c>
      <c r="AL187" s="21">
        <f t="shared" si="93"/>
        <v>0.77215999999999996</v>
      </c>
      <c r="AM187" s="68">
        <f t="shared" si="86"/>
        <v>135.77216000000001</v>
      </c>
      <c r="AN187" s="41">
        <f t="shared" si="74"/>
        <v>4.0418004286734934</v>
      </c>
      <c r="AO187" s="41">
        <f t="shared" si="75"/>
        <v>0.69316305494588981</v>
      </c>
      <c r="AP187" s="41">
        <f t="shared" si="76"/>
        <v>1.2476187508267753</v>
      </c>
      <c r="AQ187" s="21">
        <f t="shared" si="77"/>
        <v>0.18363304014999993</v>
      </c>
      <c r="AR187" s="21">
        <f t="shared" si="78"/>
        <v>44.752499999999998</v>
      </c>
      <c r="AS187" s="21">
        <f t="shared" si="79"/>
        <v>44.936133040149997</v>
      </c>
      <c r="AT187" s="41">
        <f t="shared" si="80"/>
        <v>1.4975891871625993</v>
      </c>
      <c r="AU187" s="4"/>
    </row>
    <row r="188" spans="1:60" x14ac:dyDescent="0.25">
      <c r="B188" s="4" t="s">
        <v>221</v>
      </c>
      <c r="C188" s="8">
        <v>152</v>
      </c>
      <c r="D188" s="4">
        <v>254</v>
      </c>
      <c r="E188" s="8">
        <v>221</v>
      </c>
      <c r="F188" s="4">
        <v>2500</v>
      </c>
      <c r="G188" s="8">
        <v>2100</v>
      </c>
      <c r="H188" s="4">
        <v>10</v>
      </c>
      <c r="I188" s="8">
        <v>152</v>
      </c>
      <c r="J188" s="4">
        <v>10</v>
      </c>
      <c r="K188" s="8">
        <v>152</v>
      </c>
      <c r="L188">
        <f>2.5*E188</f>
        <v>552.5</v>
      </c>
      <c r="M188">
        <f t="shared" si="87"/>
        <v>542.5</v>
      </c>
      <c r="N188" s="4">
        <v>4</v>
      </c>
      <c r="O188" s="4">
        <v>16</v>
      </c>
      <c r="P188" s="21">
        <f t="shared" si="68"/>
        <v>804.24771931898704</v>
      </c>
      <c r="Q188" s="29">
        <f t="shared" si="88"/>
        <v>2.394164441887911E-2</v>
      </c>
      <c r="R188" s="21">
        <v>448</v>
      </c>
      <c r="S188" s="41">
        <f t="shared" si="84"/>
        <v>2.5</v>
      </c>
      <c r="T188" s="41">
        <f t="shared" si="85"/>
        <v>2.4547511312217196</v>
      </c>
      <c r="U188" s="4">
        <v>10</v>
      </c>
      <c r="V188" s="4">
        <v>34</v>
      </c>
      <c r="W188" s="61" t="s">
        <v>456</v>
      </c>
      <c r="X188" s="7">
        <f t="shared" si="69"/>
        <v>1</v>
      </c>
      <c r="Y188" s="4">
        <v>30</v>
      </c>
      <c r="Z188" s="8">
        <v>0.5</v>
      </c>
      <c r="AA188" s="8">
        <v>0.5</v>
      </c>
      <c r="AB188" s="66">
        <v>60</v>
      </c>
      <c r="AC188" s="8">
        <v>1130</v>
      </c>
      <c r="AD188" s="7">
        <f t="shared" si="70"/>
        <v>0.3</v>
      </c>
      <c r="AE188" s="68">
        <f t="shared" si="91"/>
        <v>63700</v>
      </c>
      <c r="AF188" s="68">
        <f t="shared" si="92"/>
        <v>127.4</v>
      </c>
      <c r="AG188" s="49">
        <f t="shared" si="81"/>
        <v>1.9264545129792807</v>
      </c>
      <c r="AH188" s="45">
        <f t="shared" si="71"/>
        <v>0.33038422331734757</v>
      </c>
      <c r="AI188" s="45">
        <f t="shared" si="72"/>
        <v>0.59465597458918307</v>
      </c>
      <c r="AJ188" s="68">
        <v>63.7</v>
      </c>
      <c r="AK188" s="21">
        <f t="shared" si="73"/>
        <v>0.96519999999999995</v>
      </c>
      <c r="AL188" s="21">
        <f t="shared" si="93"/>
        <v>1.0134599999999998</v>
      </c>
      <c r="AM188" s="68">
        <f t="shared" si="86"/>
        <v>64.713459999999998</v>
      </c>
      <c r="AN188" s="41">
        <f t="shared" si="74"/>
        <v>1.9264545129792807</v>
      </c>
      <c r="AO188" s="41">
        <f t="shared" si="75"/>
        <v>0.33038422331734757</v>
      </c>
      <c r="AP188" s="41">
        <f t="shared" si="76"/>
        <v>0.59465597458918307</v>
      </c>
      <c r="AQ188" s="21">
        <f t="shared" si="77"/>
        <v>0.39331598375000004</v>
      </c>
      <c r="AR188" s="21">
        <f t="shared" si="78"/>
        <v>35.194249999999997</v>
      </c>
      <c r="AS188" s="21">
        <f t="shared" si="79"/>
        <v>35.587565983749997</v>
      </c>
      <c r="AT188" s="41">
        <f t="shared" si="80"/>
        <v>2.4883495695286642</v>
      </c>
      <c r="AU188" s="4"/>
    </row>
    <row r="189" spans="1:60" x14ac:dyDescent="0.25">
      <c r="A189" s="1"/>
      <c r="B189" s="10" t="s">
        <v>222</v>
      </c>
      <c r="C189" s="9">
        <v>152</v>
      </c>
      <c r="D189" s="10">
        <v>254</v>
      </c>
      <c r="E189" s="9">
        <v>221</v>
      </c>
      <c r="F189" s="10">
        <v>2500</v>
      </c>
      <c r="G189" s="9">
        <v>2100</v>
      </c>
      <c r="H189" s="10">
        <v>10</v>
      </c>
      <c r="I189" s="9">
        <v>152</v>
      </c>
      <c r="J189" s="10">
        <v>10</v>
      </c>
      <c r="K189" s="9">
        <v>152</v>
      </c>
      <c r="L189" s="1">
        <f>3.5*E189</f>
        <v>773.5</v>
      </c>
      <c r="M189" s="1">
        <f t="shared" si="87"/>
        <v>763.5</v>
      </c>
      <c r="N189" s="10">
        <v>4</v>
      </c>
      <c r="O189" s="10">
        <v>16</v>
      </c>
      <c r="P189" s="27">
        <f t="shared" si="68"/>
        <v>804.24771931898704</v>
      </c>
      <c r="Q189" s="36">
        <f t="shared" si="88"/>
        <v>2.394164441887911E-2</v>
      </c>
      <c r="R189" s="27">
        <v>448</v>
      </c>
      <c r="S189" s="48">
        <f t="shared" si="84"/>
        <v>3.5</v>
      </c>
      <c r="T189" s="48">
        <f t="shared" si="85"/>
        <v>3.4547511312217196</v>
      </c>
      <c r="U189" s="10">
        <v>10</v>
      </c>
      <c r="V189" s="10">
        <v>34</v>
      </c>
      <c r="W189" s="62" t="s">
        <v>456</v>
      </c>
      <c r="X189" s="7">
        <f t="shared" si="69"/>
        <v>1</v>
      </c>
      <c r="Y189" s="10">
        <v>30</v>
      </c>
      <c r="Z189" s="9">
        <v>0.5</v>
      </c>
      <c r="AA189" s="9">
        <v>0.5</v>
      </c>
      <c r="AB189" s="67">
        <v>60</v>
      </c>
      <c r="AC189" s="9">
        <v>1130</v>
      </c>
      <c r="AD189" s="7">
        <f t="shared" si="70"/>
        <v>0.3</v>
      </c>
      <c r="AE189" s="69">
        <f t="shared" si="91"/>
        <v>49400</v>
      </c>
      <c r="AF189" s="69">
        <f t="shared" si="92"/>
        <v>98.8</v>
      </c>
      <c r="AG189" s="50">
        <f t="shared" si="81"/>
        <v>1.5007579185520361</v>
      </c>
      <c r="AH189" s="45">
        <f t="shared" si="71"/>
        <v>0.25737785967309068</v>
      </c>
      <c r="AI189" s="45">
        <f t="shared" si="72"/>
        <v>0.46325239275898389</v>
      </c>
      <c r="AJ189" s="69">
        <v>49.4</v>
      </c>
      <c r="AK189" s="21">
        <f t="shared" si="73"/>
        <v>0.96519999999999995</v>
      </c>
      <c r="AL189" s="27">
        <f t="shared" si="93"/>
        <v>1.0134599999999998</v>
      </c>
      <c r="AM189" s="69">
        <f t="shared" si="86"/>
        <v>50.413460000000001</v>
      </c>
      <c r="AN189" s="41">
        <f t="shared" si="74"/>
        <v>1.5007579185520361</v>
      </c>
      <c r="AO189" s="41">
        <f t="shared" si="75"/>
        <v>0.25737785967309068</v>
      </c>
      <c r="AP189" s="41">
        <f t="shared" si="76"/>
        <v>0.46325239275898389</v>
      </c>
      <c r="AQ189" s="21">
        <f t="shared" si="77"/>
        <v>0.47586664414999991</v>
      </c>
      <c r="AR189" s="21">
        <f t="shared" si="78"/>
        <v>38.210900000000002</v>
      </c>
      <c r="AS189" s="21">
        <f t="shared" si="79"/>
        <v>38.686766644150005</v>
      </c>
      <c r="AT189" s="41">
        <f t="shared" si="80"/>
        <v>3.4723512874083711</v>
      </c>
      <c r="AU189" s="10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</row>
    <row r="190" spans="1:60" x14ac:dyDescent="0.25">
      <c r="A190" t="s">
        <v>23</v>
      </c>
      <c r="B190" s="4" t="s">
        <v>142</v>
      </c>
      <c r="C190" s="8">
        <v>150</v>
      </c>
      <c r="D190" s="4">
        <v>225</v>
      </c>
      <c r="E190" s="8">
        <v>197</v>
      </c>
      <c r="F190" s="4">
        <v>2000</v>
      </c>
      <c r="G190">
        <f>2*L190+500</f>
        <v>1288</v>
      </c>
      <c r="H190" s="4">
        <v>100</v>
      </c>
      <c r="I190" s="8">
        <v>150</v>
      </c>
      <c r="J190" s="4">
        <v>100</v>
      </c>
      <c r="K190" s="8">
        <v>150</v>
      </c>
      <c r="L190">
        <f>2*E190</f>
        <v>394</v>
      </c>
      <c r="M190">
        <f t="shared" si="87"/>
        <v>294</v>
      </c>
      <c r="N190" s="4">
        <v>2</v>
      </c>
      <c r="O190" s="4">
        <v>16</v>
      </c>
      <c r="P190" s="21">
        <f t="shared" si="68"/>
        <v>402.12385965949352</v>
      </c>
      <c r="Q190" s="29">
        <f t="shared" si="88"/>
        <v>1.3608252441945636E-2</v>
      </c>
      <c r="R190" s="21">
        <v>462</v>
      </c>
      <c r="S190" s="41">
        <f t="shared" si="84"/>
        <v>2</v>
      </c>
      <c r="T190" s="41">
        <f t="shared" si="85"/>
        <v>1.4923857868020305</v>
      </c>
      <c r="U190" s="4">
        <v>20</v>
      </c>
      <c r="V190" s="4">
        <v>29.1</v>
      </c>
      <c r="W190" s="61" t="s">
        <v>456</v>
      </c>
      <c r="X190" s="7">
        <f t="shared" si="69"/>
        <v>1</v>
      </c>
      <c r="Y190" s="4">
        <v>30</v>
      </c>
      <c r="Z190" s="8">
        <v>0.5</v>
      </c>
      <c r="AA190" s="8">
        <v>0.5</v>
      </c>
      <c r="AB190" s="66">
        <v>60</v>
      </c>
      <c r="AC190" s="8">
        <v>1260</v>
      </c>
      <c r="AD190" s="7">
        <f t="shared" si="70"/>
        <v>0.3</v>
      </c>
      <c r="AE190" s="68">
        <f t="shared" si="91"/>
        <v>75000</v>
      </c>
      <c r="AF190" s="68">
        <f t="shared" si="92"/>
        <v>150</v>
      </c>
      <c r="AG190" s="49">
        <f t="shared" si="81"/>
        <v>2.556459390862944</v>
      </c>
      <c r="AH190" s="45">
        <f t="shared" si="71"/>
        <v>0.47390621460903321</v>
      </c>
      <c r="AI190" s="45">
        <f t="shared" si="72"/>
        <v>0.83114073635166519</v>
      </c>
      <c r="AJ190" s="68">
        <v>75</v>
      </c>
      <c r="AK190" s="21">
        <f t="shared" si="73"/>
        <v>0.84375</v>
      </c>
      <c r="AL190" s="21">
        <f t="shared" si="93"/>
        <v>0.54337499999999994</v>
      </c>
      <c r="AM190" s="68">
        <f t="shared" si="86"/>
        <v>75.543374999999997</v>
      </c>
      <c r="AN190" s="41">
        <f t="shared" si="74"/>
        <v>2.556459390862944</v>
      </c>
      <c r="AO190" s="41">
        <f t="shared" si="75"/>
        <v>0.47390621460903321</v>
      </c>
      <c r="AP190" s="41">
        <f t="shared" si="76"/>
        <v>0.83114073635166519</v>
      </c>
      <c r="AQ190" s="21">
        <f t="shared" si="77"/>
        <v>9.5132812499999997E-2</v>
      </c>
      <c r="AR190" s="21">
        <f t="shared" si="78"/>
        <v>29.55</v>
      </c>
      <c r="AS190" s="21">
        <f t="shared" si="79"/>
        <v>29.645132812500002</v>
      </c>
      <c r="AT190" s="41">
        <f t="shared" si="80"/>
        <v>1.9920066806343373</v>
      </c>
      <c r="AU190" s="4"/>
    </row>
    <row r="191" spans="1:60" x14ac:dyDescent="0.25">
      <c r="A191">
        <v>1986</v>
      </c>
      <c r="B191" s="4" t="s">
        <v>223</v>
      </c>
      <c r="C191" s="8">
        <v>150</v>
      </c>
      <c r="D191" s="4">
        <v>225</v>
      </c>
      <c r="E191" s="8">
        <v>197</v>
      </c>
      <c r="F191" s="4">
        <v>2000</v>
      </c>
      <c r="G191">
        <f t="shared" ref="G191:G198" si="94">2*L191+500</f>
        <v>1603.1999999999998</v>
      </c>
      <c r="H191" s="4">
        <v>100</v>
      </c>
      <c r="I191" s="8">
        <v>150</v>
      </c>
      <c r="J191" s="4">
        <v>100</v>
      </c>
      <c r="K191" s="8">
        <v>150</v>
      </c>
      <c r="L191">
        <f>2.8*E191</f>
        <v>551.59999999999991</v>
      </c>
      <c r="M191">
        <f t="shared" si="87"/>
        <v>451.59999999999991</v>
      </c>
      <c r="N191" s="4">
        <v>2</v>
      </c>
      <c r="O191" s="4">
        <v>16</v>
      </c>
      <c r="P191" s="21">
        <f t="shared" si="68"/>
        <v>402.12385965949352</v>
      </c>
      <c r="Q191" s="29">
        <f t="shared" si="88"/>
        <v>1.3608252441945636E-2</v>
      </c>
      <c r="R191" s="21">
        <v>462</v>
      </c>
      <c r="S191" s="41">
        <f t="shared" si="84"/>
        <v>2.7999999999999994</v>
      </c>
      <c r="T191" s="41">
        <f t="shared" si="85"/>
        <v>2.2923857868020301</v>
      </c>
      <c r="U191" s="4">
        <v>20</v>
      </c>
      <c r="V191" s="4">
        <v>29.1</v>
      </c>
      <c r="W191" s="61" t="s">
        <v>456</v>
      </c>
      <c r="X191" s="7">
        <f t="shared" si="69"/>
        <v>1</v>
      </c>
      <c r="Y191" s="4">
        <v>30</v>
      </c>
      <c r="Z191" s="8">
        <v>0.5</v>
      </c>
      <c r="AA191" s="8">
        <v>0.5</v>
      </c>
      <c r="AB191" s="66">
        <v>60</v>
      </c>
      <c r="AC191" s="8">
        <v>1260</v>
      </c>
      <c r="AD191" s="7">
        <f t="shared" si="70"/>
        <v>0.3</v>
      </c>
      <c r="AE191" s="68">
        <f t="shared" si="91"/>
        <v>52500</v>
      </c>
      <c r="AF191" s="68">
        <f t="shared" si="92"/>
        <v>105</v>
      </c>
      <c r="AG191" s="49">
        <f t="shared" si="81"/>
        <v>1.7995380710659896</v>
      </c>
      <c r="AH191" s="45">
        <f t="shared" si="71"/>
        <v>0.33359116845421666</v>
      </c>
      <c r="AI191" s="45">
        <f t="shared" si="72"/>
        <v>0.5850550189939735</v>
      </c>
      <c r="AJ191" s="68">
        <v>52.5</v>
      </c>
      <c r="AK191" s="21">
        <f t="shared" si="73"/>
        <v>0.84375</v>
      </c>
      <c r="AL191" s="21">
        <f t="shared" si="93"/>
        <v>0.6763499999999999</v>
      </c>
      <c r="AM191" s="68">
        <f t="shared" si="86"/>
        <v>53.176349999999999</v>
      </c>
      <c r="AN191" s="41">
        <f t="shared" si="74"/>
        <v>1.7995380710659898</v>
      </c>
      <c r="AO191" s="41">
        <f t="shared" si="75"/>
        <v>0.33359116845421671</v>
      </c>
      <c r="AP191" s="41">
        <f t="shared" si="76"/>
        <v>0.58505501899397361</v>
      </c>
      <c r="AQ191" s="21">
        <f t="shared" si="77"/>
        <v>0.2281078124999999</v>
      </c>
      <c r="AR191" s="21">
        <f t="shared" si="78"/>
        <v>28.958999999999996</v>
      </c>
      <c r="AS191" s="21">
        <f t="shared" si="79"/>
        <v>29.187107812499995</v>
      </c>
      <c r="AT191" s="41">
        <f t="shared" si="80"/>
        <v>2.7861616616722467</v>
      </c>
      <c r="AU191" s="4"/>
    </row>
    <row r="192" spans="1:60" x14ac:dyDescent="0.25">
      <c r="B192" s="4" t="s">
        <v>224</v>
      </c>
      <c r="C192" s="8">
        <v>150</v>
      </c>
      <c r="D192" s="4">
        <v>225</v>
      </c>
      <c r="E192" s="8">
        <v>197</v>
      </c>
      <c r="F192" s="4">
        <v>2500</v>
      </c>
      <c r="G192">
        <f t="shared" si="94"/>
        <v>1918.4</v>
      </c>
      <c r="H192" s="4">
        <v>100</v>
      </c>
      <c r="I192" s="8">
        <v>150</v>
      </c>
      <c r="J192" s="4">
        <v>100</v>
      </c>
      <c r="K192" s="8">
        <v>150</v>
      </c>
      <c r="L192">
        <f>3.6*E192</f>
        <v>709.2</v>
      </c>
      <c r="M192">
        <f t="shared" si="87"/>
        <v>609.20000000000005</v>
      </c>
      <c r="N192" s="4">
        <v>2</v>
      </c>
      <c r="O192" s="4">
        <v>16</v>
      </c>
      <c r="P192" s="21">
        <f t="shared" si="68"/>
        <v>402.12385965949352</v>
      </c>
      <c r="Q192" s="29">
        <f t="shared" si="88"/>
        <v>1.3608252441945636E-2</v>
      </c>
      <c r="R192" s="21">
        <v>462</v>
      </c>
      <c r="S192" s="41">
        <f t="shared" si="84"/>
        <v>3.6</v>
      </c>
      <c r="T192" s="41">
        <f t="shared" si="85"/>
        <v>3.0923857868020308</v>
      </c>
      <c r="U192" s="4">
        <v>20</v>
      </c>
      <c r="V192" s="4">
        <v>29.1</v>
      </c>
      <c r="W192" s="61" t="s">
        <v>456</v>
      </c>
      <c r="X192" s="7">
        <f t="shared" si="69"/>
        <v>1</v>
      </c>
      <c r="Y192" s="4">
        <v>30</v>
      </c>
      <c r="Z192" s="8">
        <v>0.5</v>
      </c>
      <c r="AA192" s="8">
        <v>0.5</v>
      </c>
      <c r="AB192" s="66">
        <v>60</v>
      </c>
      <c r="AC192" s="8">
        <v>1260</v>
      </c>
      <c r="AD192" s="7">
        <f t="shared" si="70"/>
        <v>0.3</v>
      </c>
      <c r="AE192" s="68">
        <f t="shared" si="91"/>
        <v>45000</v>
      </c>
      <c r="AF192" s="68">
        <f t="shared" si="92"/>
        <v>90</v>
      </c>
      <c r="AG192" s="49">
        <f t="shared" si="81"/>
        <v>1.5502309644670051</v>
      </c>
      <c r="AH192" s="45">
        <f t="shared" si="71"/>
        <v>0.28737561440093129</v>
      </c>
      <c r="AI192" s="45">
        <f t="shared" si="72"/>
        <v>0.5040017885390049</v>
      </c>
      <c r="AJ192" s="68">
        <v>45</v>
      </c>
      <c r="AK192" s="21">
        <f t="shared" si="73"/>
        <v>0.84375</v>
      </c>
      <c r="AL192" s="21">
        <f t="shared" si="93"/>
        <v>0.80932500000000007</v>
      </c>
      <c r="AM192" s="68">
        <f t="shared" si="86"/>
        <v>45.809325000000001</v>
      </c>
      <c r="AN192" s="41">
        <f t="shared" si="74"/>
        <v>1.5502309644670051</v>
      </c>
      <c r="AO192" s="41">
        <f t="shared" si="75"/>
        <v>0.28737561440093129</v>
      </c>
      <c r="AP192" s="41">
        <f t="shared" si="76"/>
        <v>0.5040017885390049</v>
      </c>
      <c r="AQ192" s="21">
        <f t="shared" si="77"/>
        <v>0.32610937500000003</v>
      </c>
      <c r="AR192" s="21">
        <f t="shared" si="78"/>
        <v>31.914000000000005</v>
      </c>
      <c r="AS192" s="21">
        <f t="shared" si="79"/>
        <v>32.240109375000003</v>
      </c>
      <c r="AT192" s="41">
        <f t="shared" si="80"/>
        <v>3.5725341409870386</v>
      </c>
      <c r="AU192" s="4"/>
    </row>
    <row r="193" spans="1:60" x14ac:dyDescent="0.25">
      <c r="B193" s="4" t="s">
        <v>225</v>
      </c>
      <c r="C193" s="8">
        <v>150</v>
      </c>
      <c r="D193" s="4">
        <v>225</v>
      </c>
      <c r="E193" s="8">
        <v>197</v>
      </c>
      <c r="F193" s="4">
        <v>2000</v>
      </c>
      <c r="G193">
        <f t="shared" si="94"/>
        <v>1288</v>
      </c>
      <c r="H193" s="4">
        <v>100</v>
      </c>
      <c r="I193" s="8">
        <v>150</v>
      </c>
      <c r="J193" s="4">
        <v>100</v>
      </c>
      <c r="K193" s="8">
        <v>150</v>
      </c>
      <c r="L193" s="4">
        <v>394</v>
      </c>
      <c r="M193">
        <f t="shared" si="87"/>
        <v>294</v>
      </c>
      <c r="N193" s="4">
        <v>2</v>
      </c>
      <c r="O193" s="4">
        <v>16</v>
      </c>
      <c r="P193" s="21">
        <f t="shared" si="68"/>
        <v>402.12385965949352</v>
      </c>
      <c r="Q193" s="29">
        <f t="shared" si="88"/>
        <v>1.3608252441945636E-2</v>
      </c>
      <c r="R193" s="21">
        <v>462</v>
      </c>
      <c r="S193" s="41">
        <f t="shared" si="84"/>
        <v>2</v>
      </c>
      <c r="T193" s="41">
        <f t="shared" si="85"/>
        <v>1.4923857868020305</v>
      </c>
      <c r="U193" s="4">
        <v>20</v>
      </c>
      <c r="V193" s="4">
        <v>29.9</v>
      </c>
      <c r="W193" s="61" t="s">
        <v>456</v>
      </c>
      <c r="X193" s="7">
        <f t="shared" si="69"/>
        <v>1</v>
      </c>
      <c r="Y193" s="4">
        <v>30</v>
      </c>
      <c r="Z193" s="8">
        <v>0.75</v>
      </c>
      <c r="AA193" s="8">
        <v>0.5</v>
      </c>
      <c r="AB193" s="66">
        <v>60</v>
      </c>
      <c r="AC193" s="8">
        <v>1260</v>
      </c>
      <c r="AD193" s="7">
        <f t="shared" si="70"/>
        <v>0.45</v>
      </c>
      <c r="AE193" s="68">
        <f t="shared" si="91"/>
        <v>85000</v>
      </c>
      <c r="AF193" s="68">
        <f t="shared" si="92"/>
        <v>170</v>
      </c>
      <c r="AG193" s="49">
        <f t="shared" si="81"/>
        <v>2.8948688663282569</v>
      </c>
      <c r="AH193" s="45">
        <f t="shared" si="71"/>
        <v>0.52941141524956137</v>
      </c>
      <c r="AI193" s="45">
        <f t="shared" si="72"/>
        <v>0.93269253206675329</v>
      </c>
      <c r="AJ193" s="68">
        <v>85</v>
      </c>
      <c r="AK193" s="21">
        <f t="shared" si="73"/>
        <v>0.84375</v>
      </c>
      <c r="AL193" s="21">
        <f t="shared" si="93"/>
        <v>0.54337499999999994</v>
      </c>
      <c r="AM193" s="68">
        <f t="shared" si="86"/>
        <v>85.543374999999997</v>
      </c>
      <c r="AN193" s="41">
        <f t="shared" si="74"/>
        <v>2.8948688663282574</v>
      </c>
      <c r="AO193" s="41">
        <f t="shared" si="75"/>
        <v>0.52941141524956137</v>
      </c>
      <c r="AP193" s="41">
        <f t="shared" si="76"/>
        <v>0.9326925320667534</v>
      </c>
      <c r="AQ193" s="21">
        <f t="shared" si="77"/>
        <v>9.5132812499999997E-2</v>
      </c>
      <c r="AR193" s="21">
        <f t="shared" si="78"/>
        <v>33.49</v>
      </c>
      <c r="AS193" s="21">
        <f t="shared" si="79"/>
        <v>33.585132812499999</v>
      </c>
      <c r="AT193" s="41">
        <f t="shared" si="80"/>
        <v>1.992941097749124</v>
      </c>
      <c r="AU193" s="4"/>
    </row>
    <row r="194" spans="1:60" x14ac:dyDescent="0.25">
      <c r="B194" s="4" t="s">
        <v>226</v>
      </c>
      <c r="C194" s="8">
        <v>150</v>
      </c>
      <c r="D194" s="4">
        <v>225</v>
      </c>
      <c r="E194" s="8">
        <v>197</v>
      </c>
      <c r="F194" s="4">
        <v>2000</v>
      </c>
      <c r="G194">
        <f t="shared" si="94"/>
        <v>1603.2</v>
      </c>
      <c r="H194" s="4">
        <v>100</v>
      </c>
      <c r="I194" s="8">
        <v>150</v>
      </c>
      <c r="J194" s="4">
        <v>100</v>
      </c>
      <c r="K194" s="8">
        <v>150</v>
      </c>
      <c r="L194" s="4">
        <v>551.6</v>
      </c>
      <c r="M194">
        <f t="shared" si="87"/>
        <v>451.6</v>
      </c>
      <c r="N194" s="4">
        <v>2</v>
      </c>
      <c r="O194" s="4">
        <v>16</v>
      </c>
      <c r="P194" s="21">
        <f t="shared" si="68"/>
        <v>402.12385965949352</v>
      </c>
      <c r="Q194" s="29">
        <f t="shared" si="88"/>
        <v>1.3608252441945636E-2</v>
      </c>
      <c r="R194" s="21">
        <v>462</v>
      </c>
      <c r="S194" s="41">
        <f t="shared" si="84"/>
        <v>2.8000000000000003</v>
      </c>
      <c r="T194" s="41">
        <f t="shared" si="85"/>
        <v>2.2923857868020305</v>
      </c>
      <c r="U194" s="4">
        <v>20</v>
      </c>
      <c r="V194" s="4">
        <v>29.9</v>
      </c>
      <c r="W194" s="61" t="s">
        <v>456</v>
      </c>
      <c r="X194" s="7">
        <f t="shared" si="69"/>
        <v>1</v>
      </c>
      <c r="Y194" s="4">
        <v>30</v>
      </c>
      <c r="Z194" s="8">
        <v>0.75</v>
      </c>
      <c r="AA194" s="8">
        <v>0.5</v>
      </c>
      <c r="AB194" s="66">
        <v>60</v>
      </c>
      <c r="AC194" s="8">
        <v>1260</v>
      </c>
      <c r="AD194" s="7">
        <f t="shared" si="70"/>
        <v>0.45</v>
      </c>
      <c r="AE194" s="68">
        <f t="shared" si="91"/>
        <v>60000</v>
      </c>
      <c r="AF194" s="68">
        <f t="shared" si="92"/>
        <v>120</v>
      </c>
      <c r="AG194" s="49">
        <f t="shared" si="81"/>
        <v>2.0533451776649745</v>
      </c>
      <c r="AH194" s="45">
        <f t="shared" si="71"/>
        <v>0.37551420347487718</v>
      </c>
      <c r="AI194" s="45">
        <f t="shared" si="72"/>
        <v>0.66156354619008828</v>
      </c>
      <c r="AJ194" s="68">
        <v>60</v>
      </c>
      <c r="AK194" s="21">
        <f t="shared" si="73"/>
        <v>0.84375</v>
      </c>
      <c r="AL194" s="21">
        <f t="shared" si="93"/>
        <v>0.67634999999999978</v>
      </c>
      <c r="AM194" s="68">
        <f t="shared" si="86"/>
        <v>60.676349999999999</v>
      </c>
      <c r="AN194" s="41">
        <f t="shared" si="74"/>
        <v>2.0533451776649745</v>
      </c>
      <c r="AO194" s="41">
        <f t="shared" si="75"/>
        <v>0.37551420347487718</v>
      </c>
      <c r="AP194" s="41">
        <f t="shared" si="76"/>
        <v>0.66156354619008828</v>
      </c>
      <c r="AQ194" s="21">
        <f t="shared" si="77"/>
        <v>0.22810781250000001</v>
      </c>
      <c r="AR194" s="21">
        <f t="shared" si="78"/>
        <v>33.095999999999997</v>
      </c>
      <c r="AS194" s="21">
        <f t="shared" si="79"/>
        <v>33.324107812499996</v>
      </c>
      <c r="AT194" s="41">
        <f t="shared" si="80"/>
        <v>2.7878721722329205</v>
      </c>
      <c r="AU194" s="4"/>
    </row>
    <row r="195" spans="1:60" x14ac:dyDescent="0.25">
      <c r="B195" s="4" t="s">
        <v>227</v>
      </c>
      <c r="C195" s="8">
        <v>150</v>
      </c>
      <c r="D195" s="4">
        <v>225</v>
      </c>
      <c r="E195" s="8">
        <v>197</v>
      </c>
      <c r="F195" s="4">
        <v>2000</v>
      </c>
      <c r="G195">
        <f t="shared" si="94"/>
        <v>1603.2</v>
      </c>
      <c r="H195" s="4">
        <v>100</v>
      </c>
      <c r="I195" s="8">
        <v>150</v>
      </c>
      <c r="J195" s="4">
        <v>100</v>
      </c>
      <c r="K195" s="8">
        <v>150</v>
      </c>
      <c r="L195" s="4">
        <v>551.6</v>
      </c>
      <c r="M195">
        <f t="shared" si="87"/>
        <v>451.6</v>
      </c>
      <c r="N195" s="4">
        <v>3</v>
      </c>
      <c r="O195" s="4">
        <v>16</v>
      </c>
      <c r="P195" s="21">
        <f t="shared" si="68"/>
        <v>603.18578948924028</v>
      </c>
      <c r="Q195" s="29">
        <f t="shared" si="88"/>
        <v>2.0412378662918451E-2</v>
      </c>
      <c r="R195" s="21">
        <v>462</v>
      </c>
      <c r="S195" s="41">
        <f t="shared" si="84"/>
        <v>2.8000000000000003</v>
      </c>
      <c r="T195" s="41">
        <f t="shared" si="85"/>
        <v>2.2923857868020305</v>
      </c>
      <c r="U195" s="4">
        <v>20</v>
      </c>
      <c r="V195" s="4">
        <v>29.9</v>
      </c>
      <c r="W195" s="61" t="s">
        <v>456</v>
      </c>
      <c r="X195" s="7">
        <f t="shared" si="69"/>
        <v>1</v>
      </c>
      <c r="Y195" s="4">
        <v>30</v>
      </c>
      <c r="Z195" s="8">
        <v>0.75</v>
      </c>
      <c r="AA195" s="8">
        <v>0.5</v>
      </c>
      <c r="AB195" s="66">
        <v>60</v>
      </c>
      <c r="AC195" s="8">
        <v>1260</v>
      </c>
      <c r="AD195" s="7">
        <f t="shared" si="70"/>
        <v>0.45</v>
      </c>
      <c r="AE195" s="68">
        <f t="shared" si="91"/>
        <v>65000</v>
      </c>
      <c r="AF195" s="68">
        <f t="shared" si="92"/>
        <v>130</v>
      </c>
      <c r="AG195" s="49">
        <f t="shared" si="81"/>
        <v>2.2225499153976314</v>
      </c>
      <c r="AH195" s="45">
        <f t="shared" si="71"/>
        <v>0.40645823714490498</v>
      </c>
      <c r="AI195" s="45">
        <f t="shared" si="72"/>
        <v>0.71607931272763459</v>
      </c>
      <c r="AJ195" s="68">
        <v>65</v>
      </c>
      <c r="AK195" s="21">
        <f t="shared" si="73"/>
        <v>0.84375</v>
      </c>
      <c r="AL195" s="21">
        <f t="shared" si="93"/>
        <v>0.67634999999999978</v>
      </c>
      <c r="AM195" s="68">
        <f t="shared" si="86"/>
        <v>65.676349999999999</v>
      </c>
      <c r="AN195" s="41">
        <f t="shared" si="74"/>
        <v>2.2225499153976314</v>
      </c>
      <c r="AO195" s="41">
        <f t="shared" si="75"/>
        <v>0.40645823714490498</v>
      </c>
      <c r="AP195" s="41">
        <f t="shared" si="76"/>
        <v>0.71607931272763459</v>
      </c>
      <c r="AQ195" s="21">
        <f t="shared" si="77"/>
        <v>0.22810781250000001</v>
      </c>
      <c r="AR195" s="21">
        <f t="shared" si="78"/>
        <v>35.853999999999999</v>
      </c>
      <c r="AS195" s="21">
        <f t="shared" si="79"/>
        <v>36.082107812499999</v>
      </c>
      <c r="AT195" s="41">
        <f t="shared" si="80"/>
        <v>2.7887954747434196</v>
      </c>
      <c r="AU195" s="4"/>
    </row>
    <row r="196" spans="1:60" x14ac:dyDescent="0.25">
      <c r="B196" s="4" t="s">
        <v>228</v>
      </c>
      <c r="C196" s="8">
        <v>150</v>
      </c>
      <c r="D196" s="4">
        <v>225</v>
      </c>
      <c r="E196" s="8">
        <v>197</v>
      </c>
      <c r="F196" s="4">
        <v>2000</v>
      </c>
      <c r="G196">
        <f t="shared" si="94"/>
        <v>1603.2</v>
      </c>
      <c r="H196" s="4">
        <v>100</v>
      </c>
      <c r="I196" s="8">
        <v>150</v>
      </c>
      <c r="J196" s="4">
        <v>100</v>
      </c>
      <c r="K196" s="8">
        <v>150</v>
      </c>
      <c r="L196" s="4">
        <v>551.6</v>
      </c>
      <c r="M196">
        <f t="shared" si="87"/>
        <v>451.6</v>
      </c>
      <c r="N196" s="4">
        <v>2</v>
      </c>
      <c r="O196" s="4">
        <v>16</v>
      </c>
      <c r="P196" s="21">
        <f t="shared" si="68"/>
        <v>402.12385965949352</v>
      </c>
      <c r="Q196" s="29">
        <f t="shared" si="88"/>
        <v>1.3608252441945636E-2</v>
      </c>
      <c r="R196" s="21">
        <v>462</v>
      </c>
      <c r="S196" s="41">
        <f t="shared" si="84"/>
        <v>2.8000000000000003</v>
      </c>
      <c r="T196" s="41">
        <f t="shared" si="85"/>
        <v>2.2923857868020305</v>
      </c>
      <c r="U196" s="4">
        <v>20</v>
      </c>
      <c r="V196" s="4">
        <v>20.6</v>
      </c>
      <c r="W196" s="61" t="s">
        <v>456</v>
      </c>
      <c r="X196" s="7">
        <f t="shared" si="69"/>
        <v>1</v>
      </c>
      <c r="Y196" s="4">
        <v>30</v>
      </c>
      <c r="Z196" s="8">
        <v>0.75</v>
      </c>
      <c r="AA196" s="8">
        <v>0.5</v>
      </c>
      <c r="AB196" s="66">
        <v>60</v>
      </c>
      <c r="AC196" s="8">
        <v>1260</v>
      </c>
      <c r="AD196" s="7">
        <f t="shared" si="70"/>
        <v>0.45</v>
      </c>
      <c r="AE196" s="68">
        <f t="shared" si="91"/>
        <v>45000</v>
      </c>
      <c r="AF196" s="68">
        <f t="shared" si="92"/>
        <v>90</v>
      </c>
      <c r="AG196" s="49">
        <f t="shared" si="81"/>
        <v>1.5457309644670052</v>
      </c>
      <c r="AH196" s="45">
        <f t="shared" si="71"/>
        <v>0.34056522225174929</v>
      </c>
      <c r="AI196" s="45">
        <f t="shared" si="72"/>
        <v>0.56386893233193025</v>
      </c>
      <c r="AJ196" s="68">
        <v>45</v>
      </c>
      <c r="AK196" s="21">
        <f t="shared" si="73"/>
        <v>0.84375</v>
      </c>
      <c r="AL196" s="21">
        <f t="shared" si="93"/>
        <v>0.67634999999999978</v>
      </c>
      <c r="AM196" s="68">
        <f t="shared" si="86"/>
        <v>45.676349999999999</v>
      </c>
      <c r="AN196" s="41">
        <f t="shared" si="74"/>
        <v>1.545730964467005</v>
      </c>
      <c r="AO196" s="41">
        <f t="shared" si="75"/>
        <v>0.34056522225174923</v>
      </c>
      <c r="AP196" s="41">
        <f t="shared" si="76"/>
        <v>0.56386893233193014</v>
      </c>
      <c r="AQ196" s="21">
        <f t="shared" si="77"/>
        <v>0.22810781250000001</v>
      </c>
      <c r="AR196" s="21">
        <f t="shared" si="78"/>
        <v>24.821999999999999</v>
      </c>
      <c r="AS196" s="21">
        <f t="shared" si="79"/>
        <v>25.050107812499999</v>
      </c>
      <c r="AT196" s="41">
        <f t="shared" si="80"/>
        <v>2.7838894236878597</v>
      </c>
      <c r="AU196" s="4"/>
    </row>
    <row r="197" spans="1:60" x14ac:dyDescent="0.25">
      <c r="B197" s="4" t="s">
        <v>229</v>
      </c>
      <c r="C197" s="8">
        <v>150</v>
      </c>
      <c r="D197" s="4">
        <v>225</v>
      </c>
      <c r="E197" s="8">
        <v>197</v>
      </c>
      <c r="F197" s="4">
        <v>2000</v>
      </c>
      <c r="G197">
        <f t="shared" si="94"/>
        <v>1603.2</v>
      </c>
      <c r="H197" s="4">
        <v>100</v>
      </c>
      <c r="I197" s="8">
        <v>150</v>
      </c>
      <c r="J197" s="4">
        <v>100</v>
      </c>
      <c r="K197" s="8">
        <v>150</v>
      </c>
      <c r="L197" s="4">
        <v>551.6</v>
      </c>
      <c r="M197">
        <f t="shared" si="87"/>
        <v>451.6</v>
      </c>
      <c r="N197" s="4">
        <v>3</v>
      </c>
      <c r="O197" s="4">
        <v>16</v>
      </c>
      <c r="P197" s="21">
        <f t="shared" si="68"/>
        <v>603.18578948924028</v>
      </c>
      <c r="Q197" s="29">
        <f t="shared" si="88"/>
        <v>2.0412378662918451E-2</v>
      </c>
      <c r="R197" s="21">
        <v>462</v>
      </c>
      <c r="S197" s="41">
        <f t="shared" si="84"/>
        <v>2.8000000000000003</v>
      </c>
      <c r="T197" s="41">
        <f t="shared" si="85"/>
        <v>2.2923857868020305</v>
      </c>
      <c r="U197" s="4">
        <v>20</v>
      </c>
      <c r="V197" s="4">
        <v>20.6</v>
      </c>
      <c r="W197" s="61" t="s">
        <v>456</v>
      </c>
      <c r="X197" s="7">
        <f t="shared" ref="X197:X260" si="95">IF(W197="hooked",1,IF(W197="crimped",0.75,IF(W197="straight",0.5,"check")))</f>
        <v>1</v>
      </c>
      <c r="Y197" s="4">
        <v>30</v>
      </c>
      <c r="Z197" s="8">
        <v>0.75</v>
      </c>
      <c r="AA197" s="8">
        <v>0.5</v>
      </c>
      <c r="AB197" s="66">
        <v>60</v>
      </c>
      <c r="AC197" s="8">
        <v>1260</v>
      </c>
      <c r="AD197" s="7">
        <f t="shared" ref="AD197:AD260" si="96">AB197*Z197/100*X197</f>
        <v>0.45</v>
      </c>
      <c r="AE197" s="68">
        <f t="shared" si="91"/>
        <v>60000</v>
      </c>
      <c r="AF197" s="68">
        <f t="shared" si="92"/>
        <v>120</v>
      </c>
      <c r="AG197" s="49">
        <f t="shared" si="81"/>
        <v>2.0533451776649745</v>
      </c>
      <c r="AH197" s="45">
        <f t="shared" ref="AH197:AH260" si="97">AG197/SQRT(V197)</f>
        <v>0.45240599617033594</v>
      </c>
      <c r="AI197" s="45">
        <f t="shared" ref="AI197:AI260" si="98">AG197/(V197^(1/3))</f>
        <v>0.74904209054135262</v>
      </c>
      <c r="AJ197" s="68">
        <v>60</v>
      </c>
      <c r="AK197" s="21">
        <f t="shared" ref="AK197:AK260" si="99">25*C197/1000*D197/1000</f>
        <v>0.84375</v>
      </c>
      <c r="AL197" s="21">
        <f t="shared" si="93"/>
        <v>0.67634999999999978</v>
      </c>
      <c r="AM197" s="68">
        <f t="shared" si="86"/>
        <v>60.676349999999999</v>
      </c>
      <c r="AN197" s="41">
        <f t="shared" ref="AN197:AN260" si="100">AM197*1000/(C197*E197)</f>
        <v>2.0533451776649745</v>
      </c>
      <c r="AO197" s="41">
        <f t="shared" ref="AO197:AO260" si="101">AN197/SQRT(V197)</f>
        <v>0.45240599617033594</v>
      </c>
      <c r="AP197" s="41">
        <f t="shared" ref="AP197:AP260" si="102">AN197/(V197^(1/3))</f>
        <v>0.74904209054135262</v>
      </c>
      <c r="AQ197" s="21">
        <f t="shared" ref="AQ197:AQ260" si="103">-AK197/2*((F197-G197)/2000+L197/1000)^2+1/2*AK197*F197/1000*L197/1000</f>
        <v>0.22810781250000001</v>
      </c>
      <c r="AR197" s="21">
        <f t="shared" ref="AR197:AR260" si="104">AJ197*L197/1000</f>
        <v>33.095999999999997</v>
      </c>
      <c r="AS197" s="21">
        <f t="shared" ref="AS197:AS260" si="105">AQ197+AR197</f>
        <v>33.324107812499996</v>
      </c>
      <c r="AT197" s="41">
        <f t="shared" ref="AT197:AT260" si="106">AS197/(AM197*E197/1000)</f>
        <v>2.7878721722329205</v>
      </c>
      <c r="AU197" s="4"/>
    </row>
    <row r="198" spans="1:60" x14ac:dyDescent="0.25">
      <c r="A198" s="1"/>
      <c r="B198" s="10" t="s">
        <v>230</v>
      </c>
      <c r="C198" s="9">
        <v>150</v>
      </c>
      <c r="D198" s="10">
        <v>225</v>
      </c>
      <c r="E198" s="9">
        <v>197</v>
      </c>
      <c r="F198" s="10">
        <v>2000</v>
      </c>
      <c r="G198" s="1">
        <f t="shared" si="94"/>
        <v>1603.2</v>
      </c>
      <c r="H198" s="10">
        <v>100</v>
      </c>
      <c r="I198" s="9">
        <v>150</v>
      </c>
      <c r="J198" s="10">
        <v>100</v>
      </c>
      <c r="K198" s="9">
        <v>150</v>
      </c>
      <c r="L198" s="10">
        <v>551.6</v>
      </c>
      <c r="M198" s="1">
        <f t="shared" si="87"/>
        <v>451.6</v>
      </c>
      <c r="N198" s="10">
        <v>3</v>
      </c>
      <c r="O198" s="10">
        <v>16</v>
      </c>
      <c r="P198" s="27">
        <f t="shared" si="68"/>
        <v>603.18578948924028</v>
      </c>
      <c r="Q198" s="36">
        <f t="shared" si="88"/>
        <v>2.0412378662918451E-2</v>
      </c>
      <c r="R198" s="27">
        <v>462</v>
      </c>
      <c r="S198" s="48">
        <f t="shared" si="84"/>
        <v>2.8000000000000003</v>
      </c>
      <c r="T198" s="48">
        <f t="shared" si="85"/>
        <v>2.2923857868020305</v>
      </c>
      <c r="U198" s="10">
        <v>20</v>
      </c>
      <c r="V198" s="10">
        <v>33.4</v>
      </c>
      <c r="W198" s="62" t="s">
        <v>456</v>
      </c>
      <c r="X198" s="7">
        <f t="shared" si="95"/>
        <v>1</v>
      </c>
      <c r="Y198" s="10">
        <v>30</v>
      </c>
      <c r="Z198" s="9">
        <v>0.75</v>
      </c>
      <c r="AA198" s="9">
        <v>0.5</v>
      </c>
      <c r="AB198" s="67">
        <v>60</v>
      </c>
      <c r="AC198" s="9">
        <v>1260</v>
      </c>
      <c r="AD198" s="7">
        <f t="shared" si="96"/>
        <v>0.45</v>
      </c>
      <c r="AE198" s="69">
        <f t="shared" si="91"/>
        <v>86000</v>
      </c>
      <c r="AF198" s="69">
        <f t="shared" si="92"/>
        <v>172</v>
      </c>
      <c r="AG198" s="50">
        <f t="shared" si="81"/>
        <v>2.9332098138747882</v>
      </c>
      <c r="AH198" s="45">
        <f t="shared" si="97"/>
        <v>0.50753955664875494</v>
      </c>
      <c r="AI198" s="45">
        <f t="shared" si="98"/>
        <v>0.91080968594328682</v>
      </c>
      <c r="AJ198" s="69">
        <v>86</v>
      </c>
      <c r="AK198" s="21">
        <f t="shared" si="99"/>
        <v>0.84375</v>
      </c>
      <c r="AL198" s="27">
        <f t="shared" si="93"/>
        <v>0.67634999999999978</v>
      </c>
      <c r="AM198" s="69">
        <f t="shared" si="86"/>
        <v>86.676349999999999</v>
      </c>
      <c r="AN198" s="41">
        <f t="shared" si="100"/>
        <v>2.9332098138747886</v>
      </c>
      <c r="AO198" s="41">
        <f t="shared" si="101"/>
        <v>0.50753955664875494</v>
      </c>
      <c r="AP198" s="41">
        <f t="shared" si="102"/>
        <v>0.91080968594328704</v>
      </c>
      <c r="AQ198" s="21">
        <f t="shared" si="103"/>
        <v>0.22810781250000001</v>
      </c>
      <c r="AR198" s="21">
        <f t="shared" si="104"/>
        <v>47.437599999999996</v>
      </c>
      <c r="AS198" s="21">
        <f t="shared" si="105"/>
        <v>47.665707812499996</v>
      </c>
      <c r="AT198" s="41">
        <f t="shared" si="106"/>
        <v>2.7915101140930023</v>
      </c>
      <c r="AU198" s="10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</row>
    <row r="199" spans="1:60" x14ac:dyDescent="0.25">
      <c r="A199" t="s">
        <v>24</v>
      </c>
      <c r="B199" s="4" t="s">
        <v>231</v>
      </c>
      <c r="C199" s="8">
        <v>152</v>
      </c>
      <c r="D199" s="4">
        <v>305</v>
      </c>
      <c r="E199" s="8">
        <v>254</v>
      </c>
      <c r="F199">
        <f>78*25.4</f>
        <v>1981.1999999999998</v>
      </c>
      <c r="G199" s="4">
        <f>70*25.4</f>
        <v>1778</v>
      </c>
      <c r="H199">
        <f>6*25.4</f>
        <v>152.39999999999998</v>
      </c>
      <c r="I199">
        <f>28*25.4</f>
        <v>711.19999999999993</v>
      </c>
      <c r="J199">
        <f>6*25.4</f>
        <v>152.39999999999998</v>
      </c>
      <c r="K199">
        <f>20*25.4</f>
        <v>508</v>
      </c>
      <c r="L199">
        <f>35*25.4</f>
        <v>889</v>
      </c>
      <c r="M199">
        <f t="shared" si="87"/>
        <v>736.59999999999991</v>
      </c>
      <c r="N199" s="4">
        <v>4</v>
      </c>
      <c r="O199">
        <f>5.5/8*25.4</f>
        <v>17.462499999999999</v>
      </c>
      <c r="P199" s="21">
        <f t="shared" si="68"/>
        <v>957.99382766870644</v>
      </c>
      <c r="Q199" s="29">
        <f t="shared" si="88"/>
        <v>2.4813350281514362E-2</v>
      </c>
      <c r="R199" s="21">
        <v>420</v>
      </c>
      <c r="S199" s="41">
        <f t="shared" si="84"/>
        <v>3.5</v>
      </c>
      <c r="T199" s="41">
        <f t="shared" si="85"/>
        <v>2.8999999999999995</v>
      </c>
      <c r="U199" s="4">
        <v>10</v>
      </c>
      <c r="V199" s="4">
        <v>29</v>
      </c>
      <c r="W199" s="61" t="s">
        <v>456</v>
      </c>
      <c r="X199" s="7">
        <f t="shared" si="95"/>
        <v>1</v>
      </c>
      <c r="Y199" s="4">
        <v>51</v>
      </c>
      <c r="Z199" s="8">
        <v>0.75</v>
      </c>
      <c r="AA199" s="8">
        <v>0.76</v>
      </c>
      <c r="AB199" s="66">
        <v>67</v>
      </c>
      <c r="AC199" s="8">
        <v>1096</v>
      </c>
      <c r="AD199" s="7">
        <f t="shared" si="96"/>
        <v>0.50249999999999995</v>
      </c>
      <c r="AE199" s="68">
        <f t="shared" si="91"/>
        <v>120000</v>
      </c>
      <c r="AF199" s="68">
        <f t="shared" si="92"/>
        <v>240</v>
      </c>
      <c r="AG199" s="41">
        <f t="shared" si="81"/>
        <v>3.1348516110650642</v>
      </c>
      <c r="AH199" s="45">
        <f t="shared" si="97"/>
        <v>0.582127330051603</v>
      </c>
      <c r="AI199" s="45">
        <f t="shared" si="98"/>
        <v>1.0203542762440385</v>
      </c>
      <c r="AJ199" s="68">
        <v>120</v>
      </c>
      <c r="AK199" s="21">
        <f t="shared" si="99"/>
        <v>1.159</v>
      </c>
      <c r="AL199" s="21">
        <f t="shared" si="93"/>
        <v>1.030351</v>
      </c>
      <c r="AM199" s="21">
        <f t="shared" si="86"/>
        <v>121.030351</v>
      </c>
      <c r="AN199" s="41">
        <f t="shared" si="100"/>
        <v>3.1348516110650642</v>
      </c>
      <c r="AO199" s="41">
        <f t="shared" si="101"/>
        <v>0.582127330051603</v>
      </c>
      <c r="AP199" s="41">
        <f t="shared" si="102"/>
        <v>1.0203542762440385</v>
      </c>
      <c r="AQ199" s="21">
        <f t="shared" si="103"/>
        <v>0.45200909598000005</v>
      </c>
      <c r="AR199" s="21">
        <f t="shared" si="104"/>
        <v>106.68</v>
      </c>
      <c r="AS199" s="21">
        <f t="shared" si="105"/>
        <v>107.13200909598001</v>
      </c>
      <c r="AT199" s="41">
        <f t="shared" si="106"/>
        <v>3.484907379719985</v>
      </c>
      <c r="AU199" s="4"/>
    </row>
    <row r="200" spans="1:60" x14ac:dyDescent="0.25">
      <c r="A200">
        <v>2017</v>
      </c>
      <c r="B200" s="4" t="s">
        <v>232</v>
      </c>
      <c r="C200" s="8">
        <v>610</v>
      </c>
      <c r="D200" s="4">
        <v>305</v>
      </c>
      <c r="E200" s="8">
        <v>254</v>
      </c>
      <c r="F200" s="4">
        <v>1981.2</v>
      </c>
      <c r="G200" s="4">
        <f>70*25.4</f>
        <v>1778</v>
      </c>
      <c r="H200">
        <f t="shared" ref="H200:H208" si="107">6*25.4</f>
        <v>152.39999999999998</v>
      </c>
      <c r="I200">
        <f t="shared" ref="I200:I206" si="108">28*25.4</f>
        <v>711.19999999999993</v>
      </c>
      <c r="J200">
        <f t="shared" ref="J200:J206" si="109">6*25.4</f>
        <v>152.39999999999998</v>
      </c>
      <c r="K200">
        <f>48*25.4</f>
        <v>1219.1999999999998</v>
      </c>
      <c r="L200">
        <f>35*25.4</f>
        <v>889</v>
      </c>
      <c r="M200">
        <f t="shared" si="87"/>
        <v>736.59999999999991</v>
      </c>
      <c r="N200" s="4">
        <v>16</v>
      </c>
      <c r="O200">
        <f>5.5/8*25.4</f>
        <v>17.462499999999999</v>
      </c>
      <c r="P200" s="21">
        <f t="shared" si="68"/>
        <v>3831.9753106748258</v>
      </c>
      <c r="Q200" s="29">
        <f t="shared" si="88"/>
        <v>2.4731995034689723E-2</v>
      </c>
      <c r="R200" s="21">
        <v>420</v>
      </c>
      <c r="S200" s="41">
        <f t="shared" si="84"/>
        <v>3.5</v>
      </c>
      <c r="T200" s="41">
        <f t="shared" si="85"/>
        <v>2.8999999999999995</v>
      </c>
      <c r="U200" s="4">
        <v>10</v>
      </c>
      <c r="V200" s="4">
        <v>29</v>
      </c>
      <c r="W200" s="61" t="s">
        <v>456</v>
      </c>
      <c r="X200" s="7">
        <f t="shared" si="95"/>
        <v>1</v>
      </c>
      <c r="Y200" s="4">
        <v>51</v>
      </c>
      <c r="Z200" s="8">
        <v>0.75</v>
      </c>
      <c r="AA200" s="8">
        <v>0.76</v>
      </c>
      <c r="AB200" s="66">
        <v>67</v>
      </c>
      <c r="AC200" s="8">
        <v>1096</v>
      </c>
      <c r="AD200" s="7">
        <f t="shared" si="96"/>
        <v>0.50249999999999995</v>
      </c>
      <c r="AE200" s="68">
        <f t="shared" si="91"/>
        <v>478000</v>
      </c>
      <c r="AF200" s="68">
        <f t="shared" si="92"/>
        <v>956</v>
      </c>
      <c r="AG200" s="41">
        <f t="shared" si="81"/>
        <v>3.1117526865238156</v>
      </c>
      <c r="AH200" s="45">
        <f t="shared" si="97"/>
        <v>0.57783796744738969</v>
      </c>
      <c r="AI200" s="45">
        <f t="shared" si="98"/>
        <v>1.0128358704767257</v>
      </c>
      <c r="AJ200" s="68">
        <v>478</v>
      </c>
      <c r="AK200" s="21">
        <f t="shared" si="99"/>
        <v>4.6512500000000001</v>
      </c>
      <c r="AL200" s="21">
        <f t="shared" si="93"/>
        <v>4.1349612500000008</v>
      </c>
      <c r="AM200" s="21">
        <f t="shared" si="86"/>
        <v>482.13496125</v>
      </c>
      <c r="AN200" s="41">
        <f t="shared" si="100"/>
        <v>3.1117526865238156</v>
      </c>
      <c r="AO200" s="41">
        <f t="shared" si="101"/>
        <v>0.57783796744738969</v>
      </c>
      <c r="AP200" s="41">
        <f t="shared" si="102"/>
        <v>1.0128358704767257</v>
      </c>
      <c r="AQ200" s="21">
        <f t="shared" si="103"/>
        <v>1.8139838720249997</v>
      </c>
      <c r="AR200" s="21">
        <f t="shared" si="104"/>
        <v>424.94200000000001</v>
      </c>
      <c r="AS200" s="21">
        <f t="shared" si="105"/>
        <v>426.75598387202501</v>
      </c>
      <c r="AT200" s="41">
        <f t="shared" si="106"/>
        <v>3.4847953453354759</v>
      </c>
      <c r="AU200" s="4"/>
    </row>
    <row r="201" spans="1:60" x14ac:dyDescent="0.25">
      <c r="B201" s="4" t="s">
        <v>233</v>
      </c>
      <c r="C201" s="8">
        <v>152</v>
      </c>
      <c r="D201" s="4">
        <v>457</v>
      </c>
      <c r="E201" s="8">
        <v>394</v>
      </c>
      <c r="F201">
        <f>120*25.4</f>
        <v>3048</v>
      </c>
      <c r="G201">
        <f>112*25.4</f>
        <v>2844.7999999999997</v>
      </c>
      <c r="H201">
        <f t="shared" si="107"/>
        <v>152.39999999999998</v>
      </c>
      <c r="I201">
        <f t="shared" si="108"/>
        <v>711.19999999999993</v>
      </c>
      <c r="J201">
        <f t="shared" si="109"/>
        <v>152.39999999999998</v>
      </c>
      <c r="K201">
        <f t="shared" ref="K201:K206" si="110">20*25.4</f>
        <v>508</v>
      </c>
      <c r="L201">
        <f>56*25.4</f>
        <v>1422.3999999999999</v>
      </c>
      <c r="M201">
        <f t="shared" si="87"/>
        <v>1269.9999999999998</v>
      </c>
      <c r="N201" s="4">
        <v>6</v>
      </c>
      <c r="O201">
        <f>6/8*25.4</f>
        <v>19.049999999999997</v>
      </c>
      <c r="P201" s="21">
        <f t="shared" si="68"/>
        <v>1710.1377419540545</v>
      </c>
      <c r="Q201" s="29">
        <f t="shared" si="88"/>
        <v>2.8555599484939461E-2</v>
      </c>
      <c r="R201" s="21">
        <v>420</v>
      </c>
      <c r="S201" s="41">
        <f t="shared" si="84"/>
        <v>3.6101522842639588</v>
      </c>
      <c r="T201" s="41">
        <f t="shared" si="85"/>
        <v>3.2233502538071059</v>
      </c>
      <c r="U201" s="4">
        <v>10</v>
      </c>
      <c r="V201" s="4">
        <v>39</v>
      </c>
      <c r="W201" s="61" t="s">
        <v>456</v>
      </c>
      <c r="X201" s="7">
        <f t="shared" si="95"/>
        <v>1</v>
      </c>
      <c r="Y201" s="4">
        <v>51</v>
      </c>
      <c r="Z201" s="8">
        <v>0.75</v>
      </c>
      <c r="AA201" s="8">
        <v>0.76</v>
      </c>
      <c r="AB201" s="66">
        <v>67</v>
      </c>
      <c r="AC201" s="8">
        <v>1096</v>
      </c>
      <c r="AD201" s="7">
        <f t="shared" si="96"/>
        <v>0.50249999999999995</v>
      </c>
      <c r="AE201" s="68">
        <f t="shared" si="91"/>
        <v>161000</v>
      </c>
      <c r="AF201" s="68">
        <f t="shared" si="92"/>
        <v>322</v>
      </c>
      <c r="AG201" s="41">
        <f t="shared" si="81"/>
        <v>2.7295975794816991</v>
      </c>
      <c r="AH201" s="45">
        <f t="shared" si="97"/>
        <v>0.43708542103323905</v>
      </c>
      <c r="AI201" s="45">
        <f t="shared" si="98"/>
        <v>0.80490338787474325</v>
      </c>
      <c r="AJ201" s="68">
        <v>161</v>
      </c>
      <c r="AK201" s="21">
        <f t="shared" si="99"/>
        <v>1.7365999999999999</v>
      </c>
      <c r="AL201" s="21">
        <f t="shared" si="93"/>
        <v>2.4701398399999994</v>
      </c>
      <c r="AM201" s="21">
        <f t="shared" si="86"/>
        <v>163.47013984</v>
      </c>
      <c r="AN201" s="41">
        <f t="shared" si="100"/>
        <v>2.7295975794816991</v>
      </c>
      <c r="AO201" s="41">
        <f t="shared" si="101"/>
        <v>0.43708542103323905</v>
      </c>
      <c r="AP201" s="41">
        <f t="shared" si="102"/>
        <v>0.80490338787474325</v>
      </c>
      <c r="AQ201" s="21">
        <f t="shared" si="103"/>
        <v>1.7478003753599993</v>
      </c>
      <c r="AR201" s="21">
        <f t="shared" si="104"/>
        <v>229.00639999999996</v>
      </c>
      <c r="AS201" s="21">
        <f t="shared" si="105"/>
        <v>230.75420037535994</v>
      </c>
      <c r="AT201" s="41">
        <f t="shared" si="106"/>
        <v>3.5827372503722246</v>
      </c>
      <c r="AU201" s="4"/>
    </row>
    <row r="202" spans="1:60" x14ac:dyDescent="0.25">
      <c r="B202" s="4" t="s">
        <v>234</v>
      </c>
      <c r="C202" s="8">
        <v>152</v>
      </c>
      <c r="D202" s="4">
        <v>457</v>
      </c>
      <c r="E202" s="8">
        <v>394</v>
      </c>
      <c r="F202">
        <f>120*25.4</f>
        <v>3048</v>
      </c>
      <c r="G202">
        <f>112*25.4</f>
        <v>2844.7999999999997</v>
      </c>
      <c r="H202">
        <f t="shared" si="107"/>
        <v>152.39999999999998</v>
      </c>
      <c r="I202">
        <f t="shared" si="108"/>
        <v>711.19999999999993</v>
      </c>
      <c r="J202">
        <f t="shared" si="109"/>
        <v>152.39999999999998</v>
      </c>
      <c r="K202">
        <f t="shared" si="110"/>
        <v>508</v>
      </c>
      <c r="L202">
        <f>56*25.4</f>
        <v>1422.3999999999999</v>
      </c>
      <c r="M202">
        <f t="shared" si="87"/>
        <v>1269.9999999999998</v>
      </c>
      <c r="N202" s="4">
        <v>6</v>
      </c>
      <c r="O202">
        <f>6/8*25.4</f>
        <v>19.049999999999997</v>
      </c>
      <c r="P202" s="21">
        <f t="shared" si="68"/>
        <v>1710.1377419540545</v>
      </c>
      <c r="Q202" s="29">
        <f t="shared" si="88"/>
        <v>2.8555599484939461E-2</v>
      </c>
      <c r="R202" s="21">
        <v>420</v>
      </c>
      <c r="S202" s="41">
        <f t="shared" si="84"/>
        <v>3.6101522842639588</v>
      </c>
      <c r="T202" s="41">
        <f t="shared" si="85"/>
        <v>3.2233502538071059</v>
      </c>
      <c r="U202" s="4">
        <v>10</v>
      </c>
      <c r="V202" s="4">
        <v>39</v>
      </c>
      <c r="W202" s="61" t="s">
        <v>456</v>
      </c>
      <c r="X202" s="7">
        <f t="shared" si="95"/>
        <v>1</v>
      </c>
      <c r="Y202" s="4">
        <v>51</v>
      </c>
      <c r="Z202" s="8">
        <v>0.75</v>
      </c>
      <c r="AA202" s="8">
        <v>0.76</v>
      </c>
      <c r="AB202" s="66">
        <v>67</v>
      </c>
      <c r="AC202" s="8">
        <v>1096</v>
      </c>
      <c r="AD202" s="7">
        <f t="shared" si="96"/>
        <v>0.50249999999999995</v>
      </c>
      <c r="AE202" s="68">
        <f t="shared" si="91"/>
        <v>194000</v>
      </c>
      <c r="AF202" s="68">
        <f t="shared" si="92"/>
        <v>388</v>
      </c>
      <c r="AG202" s="41">
        <f t="shared" si="81"/>
        <v>3.2806261661768636</v>
      </c>
      <c r="AH202" s="45">
        <f t="shared" si="97"/>
        <v>0.5253206113145622</v>
      </c>
      <c r="AI202" s="45">
        <f t="shared" si="98"/>
        <v>0.96739062759855154</v>
      </c>
      <c r="AJ202" s="68">
        <v>194</v>
      </c>
      <c r="AK202" s="21">
        <f t="shared" si="99"/>
        <v>1.7365999999999999</v>
      </c>
      <c r="AL202" s="21">
        <f t="shared" si="93"/>
        <v>2.4701398399999994</v>
      </c>
      <c r="AM202" s="21">
        <f t="shared" si="86"/>
        <v>196.47013984</v>
      </c>
      <c r="AN202" s="41">
        <f t="shared" si="100"/>
        <v>3.2806261661768632</v>
      </c>
      <c r="AO202" s="41">
        <f t="shared" si="101"/>
        <v>0.52532061131456209</v>
      </c>
      <c r="AP202" s="41">
        <f t="shared" si="102"/>
        <v>0.96739062759855143</v>
      </c>
      <c r="AQ202" s="21">
        <f t="shared" si="103"/>
        <v>1.7478003753599993</v>
      </c>
      <c r="AR202" s="21">
        <f t="shared" si="104"/>
        <v>275.94559999999996</v>
      </c>
      <c r="AS202" s="21">
        <f t="shared" si="105"/>
        <v>277.69340037535994</v>
      </c>
      <c r="AT202" s="41">
        <f t="shared" si="106"/>
        <v>3.5873420016039597</v>
      </c>
      <c r="AU202" s="4"/>
    </row>
    <row r="203" spans="1:60" x14ac:dyDescent="0.25">
      <c r="B203" s="4" t="s">
        <v>235</v>
      </c>
      <c r="C203" s="8">
        <v>203</v>
      </c>
      <c r="D203" s="4">
        <v>610</v>
      </c>
      <c r="E203" s="8">
        <v>541</v>
      </c>
      <c r="F203">
        <f>195*25.4</f>
        <v>4953</v>
      </c>
      <c r="G203">
        <f>147*25.4</f>
        <v>3733.7999999999997</v>
      </c>
      <c r="H203">
        <f t="shared" si="107"/>
        <v>152.39999999999998</v>
      </c>
      <c r="I203">
        <f t="shared" si="108"/>
        <v>711.19999999999993</v>
      </c>
      <c r="J203">
        <f t="shared" si="109"/>
        <v>152.39999999999998</v>
      </c>
      <c r="K203">
        <f t="shared" si="110"/>
        <v>508</v>
      </c>
      <c r="L203">
        <f>73.5*25.4</f>
        <v>1866.8999999999999</v>
      </c>
      <c r="M203">
        <f t="shared" si="87"/>
        <v>1714.4999999999998</v>
      </c>
      <c r="N203" s="4">
        <v>5</v>
      </c>
      <c r="O203">
        <f>8.4/8*25.4</f>
        <v>26.669999999999998</v>
      </c>
      <c r="P203" s="21">
        <f t="shared" si="68"/>
        <v>2793.224978524956</v>
      </c>
      <c r="Q203" s="29">
        <f t="shared" si="88"/>
        <v>2.5433879774955665E-2</v>
      </c>
      <c r="R203" s="21">
        <v>420</v>
      </c>
      <c r="S203" s="41">
        <f t="shared" si="84"/>
        <v>3.4508317929759702</v>
      </c>
      <c r="T203" s="41">
        <f t="shared" si="85"/>
        <v>3.1691312384473194</v>
      </c>
      <c r="U203" s="4">
        <v>10</v>
      </c>
      <c r="V203" s="4">
        <v>50</v>
      </c>
      <c r="W203" s="61" t="s">
        <v>456</v>
      </c>
      <c r="X203" s="7">
        <f t="shared" si="95"/>
        <v>1</v>
      </c>
      <c r="Y203" s="4">
        <v>51</v>
      </c>
      <c r="Z203" s="8">
        <v>0.75</v>
      </c>
      <c r="AA203" s="8">
        <v>0.76</v>
      </c>
      <c r="AB203" s="66">
        <v>67</v>
      </c>
      <c r="AC203" s="8">
        <v>1096</v>
      </c>
      <c r="AD203" s="7">
        <f t="shared" si="96"/>
        <v>0.50249999999999995</v>
      </c>
      <c r="AE203" s="68">
        <f t="shared" si="91"/>
        <v>267000</v>
      </c>
      <c r="AF203" s="68">
        <f t="shared" si="92"/>
        <v>534</v>
      </c>
      <c r="AG203" s="41">
        <f t="shared" ref="AG203:AG233" si="111">AM203/(C203*E203)*1000</f>
        <v>2.4838099093541426</v>
      </c>
      <c r="AH203" s="45">
        <f t="shared" si="97"/>
        <v>0.35126376601653164</v>
      </c>
      <c r="AI203" s="45">
        <f t="shared" si="98"/>
        <v>0.67420973742238832</v>
      </c>
      <c r="AJ203" s="68">
        <v>267</v>
      </c>
      <c r="AK203" s="21">
        <f t="shared" si="99"/>
        <v>3.0957499999999998</v>
      </c>
      <c r="AL203" s="21">
        <f t="shared" si="93"/>
        <v>5.7794556749999977</v>
      </c>
      <c r="AM203" s="21">
        <f t="shared" si="86"/>
        <v>272.77945567500001</v>
      </c>
      <c r="AN203" s="41">
        <f t="shared" si="100"/>
        <v>2.483809909354143</v>
      </c>
      <c r="AO203" s="41">
        <f t="shared" si="101"/>
        <v>0.3512637660165317</v>
      </c>
      <c r="AP203" s="41">
        <f t="shared" si="102"/>
        <v>0.67420973742238843</v>
      </c>
      <c r="AQ203" s="21">
        <f t="shared" si="103"/>
        <v>4.8196237276687501</v>
      </c>
      <c r="AR203" s="21">
        <f t="shared" si="104"/>
        <v>498.46229999999997</v>
      </c>
      <c r="AS203" s="21">
        <f t="shared" si="105"/>
        <v>503.2819237276687</v>
      </c>
      <c r="AT203" s="41">
        <f t="shared" si="106"/>
        <v>3.4103771411120878</v>
      </c>
      <c r="AU203" s="4"/>
    </row>
    <row r="204" spans="1:60" x14ac:dyDescent="0.25">
      <c r="B204" s="4" t="s">
        <v>236</v>
      </c>
      <c r="C204" s="8">
        <v>203</v>
      </c>
      <c r="D204" s="4">
        <v>610</v>
      </c>
      <c r="E204" s="8">
        <v>541</v>
      </c>
      <c r="F204">
        <f>195*25.4</f>
        <v>4953</v>
      </c>
      <c r="G204">
        <f>147*25.4</f>
        <v>3733.7999999999997</v>
      </c>
      <c r="H204">
        <f t="shared" si="107"/>
        <v>152.39999999999998</v>
      </c>
      <c r="I204">
        <f t="shared" si="108"/>
        <v>711.19999999999993</v>
      </c>
      <c r="J204">
        <f t="shared" si="109"/>
        <v>152.39999999999998</v>
      </c>
      <c r="K204">
        <f t="shared" si="110"/>
        <v>508</v>
      </c>
      <c r="L204">
        <f>73.5*25.4</f>
        <v>1866.8999999999999</v>
      </c>
      <c r="M204">
        <f t="shared" si="87"/>
        <v>1714.4999999999998</v>
      </c>
      <c r="N204" s="4">
        <v>5</v>
      </c>
      <c r="O204">
        <f>8.4/8*25.4</f>
        <v>26.669999999999998</v>
      </c>
      <c r="P204" s="21">
        <f t="shared" si="68"/>
        <v>2793.224978524956</v>
      </c>
      <c r="Q204" s="29">
        <f t="shared" si="88"/>
        <v>2.5433879774955665E-2</v>
      </c>
      <c r="R204" s="21">
        <v>420</v>
      </c>
      <c r="S204" s="41">
        <f t="shared" si="84"/>
        <v>3.4508317929759702</v>
      </c>
      <c r="T204" s="41">
        <f t="shared" si="85"/>
        <v>3.1691312384473194</v>
      </c>
      <c r="U204" s="4">
        <v>10</v>
      </c>
      <c r="V204" s="4">
        <v>50</v>
      </c>
      <c r="W204" s="61" t="s">
        <v>456</v>
      </c>
      <c r="X204" s="7">
        <f t="shared" si="95"/>
        <v>1</v>
      </c>
      <c r="Y204" s="4">
        <v>51</v>
      </c>
      <c r="Z204" s="8">
        <v>0.75</v>
      </c>
      <c r="AA204" s="8">
        <v>0.76</v>
      </c>
      <c r="AB204" s="66">
        <v>67</v>
      </c>
      <c r="AC204" s="8">
        <v>1096</v>
      </c>
      <c r="AD204" s="7">
        <f t="shared" si="96"/>
        <v>0.50249999999999995</v>
      </c>
      <c r="AE204" s="68">
        <f t="shared" si="91"/>
        <v>380000</v>
      </c>
      <c r="AF204" s="68">
        <f t="shared" si="92"/>
        <v>760</v>
      </c>
      <c r="AG204" s="41">
        <f t="shared" si="111"/>
        <v>3.5127382759075969</v>
      </c>
      <c r="AH204" s="45">
        <f t="shared" si="97"/>
        <v>0.49677621108556064</v>
      </c>
      <c r="AI204" s="45">
        <f t="shared" si="98"/>
        <v>0.95350386586108016</v>
      </c>
      <c r="AJ204" s="68">
        <v>380</v>
      </c>
      <c r="AK204" s="21">
        <f t="shared" si="99"/>
        <v>3.0957499999999998</v>
      </c>
      <c r="AL204" s="21">
        <f t="shared" si="93"/>
        <v>5.7794556749999977</v>
      </c>
      <c r="AM204" s="21">
        <f t="shared" si="86"/>
        <v>385.77945567500001</v>
      </c>
      <c r="AN204" s="41">
        <f t="shared" si="100"/>
        <v>3.5127382759075969</v>
      </c>
      <c r="AO204" s="41">
        <f t="shared" si="101"/>
        <v>0.49677621108556064</v>
      </c>
      <c r="AP204" s="41">
        <f t="shared" si="102"/>
        <v>0.95350386586108016</v>
      </c>
      <c r="AQ204" s="21">
        <f t="shared" si="103"/>
        <v>4.8196237276687501</v>
      </c>
      <c r="AR204" s="21">
        <f t="shared" si="104"/>
        <v>709.42200000000003</v>
      </c>
      <c r="AS204" s="21">
        <f t="shared" si="105"/>
        <v>714.24162372766875</v>
      </c>
      <c r="AT204" s="41">
        <f t="shared" si="106"/>
        <v>3.4222268536703169</v>
      </c>
      <c r="AU204" s="4"/>
    </row>
    <row r="205" spans="1:60" x14ac:dyDescent="0.25">
      <c r="B205" s="4" t="s">
        <v>237</v>
      </c>
      <c r="C205" s="8">
        <v>254</v>
      </c>
      <c r="D205" s="4">
        <v>915</v>
      </c>
      <c r="E205" s="8">
        <v>813</v>
      </c>
      <c r="F205">
        <f>278*25.4</f>
        <v>7061.2</v>
      </c>
      <c r="G205">
        <f>224*25.4</f>
        <v>5689.5999999999995</v>
      </c>
      <c r="H205">
        <f t="shared" si="107"/>
        <v>152.39999999999998</v>
      </c>
      <c r="I205">
        <f t="shared" si="108"/>
        <v>711.19999999999993</v>
      </c>
      <c r="J205">
        <f t="shared" si="109"/>
        <v>152.39999999999998</v>
      </c>
      <c r="K205">
        <f t="shared" si="110"/>
        <v>508</v>
      </c>
      <c r="L205">
        <f>112*25.4</f>
        <v>2844.7999999999997</v>
      </c>
      <c r="M205">
        <f t="shared" si="87"/>
        <v>2692.4</v>
      </c>
      <c r="N205" s="4">
        <v>11</v>
      </c>
      <c r="O205">
        <f>8/8*25.4</f>
        <v>25.4</v>
      </c>
      <c r="P205" s="21">
        <f t="shared" ref="P205:P268" si="112">N205*PI()*(O205/2)^2</f>
        <v>5573.7822700724746</v>
      </c>
      <c r="Q205" s="29">
        <f t="shared" si="88"/>
        <v>2.6991420277152157E-2</v>
      </c>
      <c r="R205" s="21">
        <v>420</v>
      </c>
      <c r="S205" s="41">
        <f t="shared" si="84"/>
        <v>3.4991389913899136</v>
      </c>
      <c r="T205" s="41">
        <f t="shared" si="85"/>
        <v>3.3116851168511685</v>
      </c>
      <c r="U205" s="4">
        <v>10</v>
      </c>
      <c r="V205" s="4">
        <v>50</v>
      </c>
      <c r="W205" s="61" t="s">
        <v>456</v>
      </c>
      <c r="X205" s="7">
        <f t="shared" si="95"/>
        <v>1</v>
      </c>
      <c r="Y205" s="4">
        <v>51</v>
      </c>
      <c r="Z205" s="8">
        <v>0.75</v>
      </c>
      <c r="AA205" s="8">
        <v>0.76</v>
      </c>
      <c r="AB205" s="66">
        <v>67</v>
      </c>
      <c r="AC205" s="8">
        <v>1096</v>
      </c>
      <c r="AD205" s="7">
        <f t="shared" si="96"/>
        <v>0.50249999999999995</v>
      </c>
      <c r="AE205" s="68">
        <f t="shared" si="91"/>
        <v>683000</v>
      </c>
      <c r="AF205" s="68">
        <f t="shared" si="92"/>
        <v>1366</v>
      </c>
      <c r="AG205" s="41">
        <f t="shared" si="111"/>
        <v>3.3875168240501305</v>
      </c>
      <c r="AH205" s="45">
        <f t="shared" si="97"/>
        <v>0.47906722353387282</v>
      </c>
      <c r="AI205" s="45">
        <f t="shared" si="98"/>
        <v>0.91951353437133032</v>
      </c>
      <c r="AJ205" s="68">
        <v>683</v>
      </c>
      <c r="AK205" s="21">
        <f t="shared" si="99"/>
        <v>5.8102499999999999</v>
      </c>
      <c r="AL205" s="21">
        <f t="shared" si="93"/>
        <v>16.528999200000001</v>
      </c>
      <c r="AM205" s="21">
        <f t="shared" si="86"/>
        <v>699.52899920000004</v>
      </c>
      <c r="AN205" s="41">
        <f t="shared" si="100"/>
        <v>3.3875168240501305</v>
      </c>
      <c r="AO205" s="41">
        <f t="shared" si="101"/>
        <v>0.47906722353387282</v>
      </c>
      <c r="AP205" s="41">
        <f t="shared" si="102"/>
        <v>0.91951353437133032</v>
      </c>
      <c r="AQ205" s="21">
        <f t="shared" si="103"/>
        <v>22.144505307675004</v>
      </c>
      <c r="AR205" s="21">
        <f t="shared" si="104"/>
        <v>1942.9983999999999</v>
      </c>
      <c r="AS205" s="21">
        <f t="shared" si="105"/>
        <v>1965.1429053076749</v>
      </c>
      <c r="AT205" s="41">
        <f t="shared" si="106"/>
        <v>3.4553963420990517</v>
      </c>
      <c r="AU205" s="4"/>
    </row>
    <row r="206" spans="1:60" x14ac:dyDescent="0.25">
      <c r="B206" s="4" t="s">
        <v>238</v>
      </c>
      <c r="C206" s="8">
        <v>254</v>
      </c>
      <c r="D206" s="4">
        <v>915</v>
      </c>
      <c r="E206" s="8">
        <v>813</v>
      </c>
      <c r="F206">
        <f>278*25.4</f>
        <v>7061.2</v>
      </c>
      <c r="G206">
        <f>224*25.4</f>
        <v>5689.5999999999995</v>
      </c>
      <c r="H206">
        <f t="shared" si="107"/>
        <v>152.39999999999998</v>
      </c>
      <c r="I206">
        <f t="shared" si="108"/>
        <v>711.19999999999993</v>
      </c>
      <c r="J206">
        <f t="shared" si="109"/>
        <v>152.39999999999998</v>
      </c>
      <c r="K206">
        <f t="shared" si="110"/>
        <v>508</v>
      </c>
      <c r="L206">
        <f>112*25.4</f>
        <v>2844.7999999999997</v>
      </c>
      <c r="M206">
        <f t="shared" si="87"/>
        <v>2692.4</v>
      </c>
      <c r="N206" s="4">
        <v>11</v>
      </c>
      <c r="O206">
        <f>8/8*25.4</f>
        <v>25.4</v>
      </c>
      <c r="P206" s="21">
        <f t="shared" si="112"/>
        <v>5573.7822700724746</v>
      </c>
      <c r="Q206" s="29">
        <f t="shared" si="88"/>
        <v>2.6991420277152157E-2</v>
      </c>
      <c r="R206" s="21">
        <v>420</v>
      </c>
      <c r="S206" s="41">
        <f t="shared" si="84"/>
        <v>3.4991389913899136</v>
      </c>
      <c r="T206" s="41">
        <f t="shared" si="85"/>
        <v>3.3116851168511685</v>
      </c>
      <c r="U206" s="4">
        <v>10</v>
      </c>
      <c r="V206" s="4">
        <v>50</v>
      </c>
      <c r="W206" s="61" t="s">
        <v>456</v>
      </c>
      <c r="X206" s="7">
        <f t="shared" si="95"/>
        <v>1</v>
      </c>
      <c r="Y206" s="4">
        <v>51</v>
      </c>
      <c r="Z206" s="8">
        <v>0.75</v>
      </c>
      <c r="AA206" s="8">
        <v>0.76</v>
      </c>
      <c r="AB206" s="66">
        <v>67</v>
      </c>
      <c r="AC206" s="8">
        <v>1096</v>
      </c>
      <c r="AD206" s="7">
        <f t="shared" si="96"/>
        <v>0.50249999999999995</v>
      </c>
      <c r="AE206" s="68">
        <f t="shared" si="91"/>
        <v>704000</v>
      </c>
      <c r="AF206" s="68">
        <f t="shared" si="92"/>
        <v>1408</v>
      </c>
      <c r="AG206" s="41">
        <f t="shared" si="111"/>
        <v>3.4892107543752604</v>
      </c>
      <c r="AH206" s="45">
        <f t="shared" si="97"/>
        <v>0.49344891708155514</v>
      </c>
      <c r="AI206" s="45">
        <f t="shared" si="98"/>
        <v>0.94711751396886112</v>
      </c>
      <c r="AJ206" s="68">
        <v>704</v>
      </c>
      <c r="AK206" s="21">
        <f t="shared" si="99"/>
        <v>5.8102499999999999</v>
      </c>
      <c r="AL206" s="21">
        <f t="shared" si="93"/>
        <v>16.528999200000001</v>
      </c>
      <c r="AM206" s="21">
        <f t="shared" si="86"/>
        <v>720.52899920000004</v>
      </c>
      <c r="AN206" s="41">
        <f t="shared" si="100"/>
        <v>3.4892107543752608</v>
      </c>
      <c r="AO206" s="41">
        <f t="shared" si="101"/>
        <v>0.49344891708155519</v>
      </c>
      <c r="AP206" s="41">
        <f t="shared" si="102"/>
        <v>0.94711751396886124</v>
      </c>
      <c r="AQ206" s="21">
        <f t="shared" si="103"/>
        <v>22.144505307675004</v>
      </c>
      <c r="AR206" s="21">
        <f t="shared" si="104"/>
        <v>2002.7391999999998</v>
      </c>
      <c r="AS206" s="21">
        <f t="shared" si="105"/>
        <v>2024.8837053076747</v>
      </c>
      <c r="AT206" s="41">
        <f t="shared" si="106"/>
        <v>3.4566712326810101</v>
      </c>
      <c r="AU206" s="4"/>
    </row>
    <row r="207" spans="1:60" x14ac:dyDescent="0.25">
      <c r="B207" s="4" t="s">
        <v>239</v>
      </c>
      <c r="C207" s="8">
        <v>305</v>
      </c>
      <c r="D207" s="4">
        <v>1220</v>
      </c>
      <c r="E207" s="8">
        <v>1118</v>
      </c>
      <c r="F207">
        <f>370*25.4</f>
        <v>9398</v>
      </c>
      <c r="G207">
        <f>308*25.4</f>
        <v>7823.2</v>
      </c>
      <c r="H207">
        <f t="shared" si="107"/>
        <v>152.39999999999998</v>
      </c>
      <c r="I207">
        <f>48*25.4</f>
        <v>1219.1999999999998</v>
      </c>
      <c r="J207">
        <f>7*25.4</f>
        <v>177.79999999999998</v>
      </c>
      <c r="K207">
        <f>12*25.4</f>
        <v>304.79999999999995</v>
      </c>
      <c r="L207">
        <f>154*25.4</f>
        <v>3911.6</v>
      </c>
      <c r="M207">
        <f t="shared" si="87"/>
        <v>3746.5</v>
      </c>
      <c r="N207" s="4">
        <v>11</v>
      </c>
      <c r="O207">
        <f>10/8*25.4</f>
        <v>31.75</v>
      </c>
      <c r="P207" s="21">
        <f t="shared" si="112"/>
        <v>8709.0347969882405</v>
      </c>
      <c r="Q207" s="29">
        <f t="shared" si="88"/>
        <v>2.5540440473293177E-2</v>
      </c>
      <c r="R207" s="21">
        <v>420</v>
      </c>
      <c r="S207" s="41">
        <f t="shared" si="84"/>
        <v>3.498747763864043</v>
      </c>
      <c r="T207" s="41">
        <f t="shared" si="85"/>
        <v>3.3510733452593917</v>
      </c>
      <c r="U207" s="4">
        <v>10</v>
      </c>
      <c r="V207" s="4">
        <v>50</v>
      </c>
      <c r="W207" s="61" t="s">
        <v>456</v>
      </c>
      <c r="X207" s="7">
        <f t="shared" si="95"/>
        <v>1</v>
      </c>
      <c r="Y207" s="4">
        <v>51</v>
      </c>
      <c r="Z207" s="8">
        <v>0.75</v>
      </c>
      <c r="AA207" s="8">
        <v>0.76</v>
      </c>
      <c r="AB207" s="66">
        <v>67</v>
      </c>
      <c r="AC207" s="8">
        <v>1096</v>
      </c>
      <c r="AD207" s="7">
        <f t="shared" si="96"/>
        <v>0.50249999999999995</v>
      </c>
      <c r="AE207" s="68">
        <f t="shared" si="91"/>
        <v>1045000</v>
      </c>
      <c r="AF207" s="68">
        <f t="shared" si="92"/>
        <v>2090</v>
      </c>
      <c r="AG207" s="41">
        <f t="shared" si="111"/>
        <v>3.1713178069738115</v>
      </c>
      <c r="AH207" s="45">
        <f t="shared" si="97"/>
        <v>0.4484920653217665</v>
      </c>
      <c r="AI207" s="45">
        <f t="shared" si="98"/>
        <v>0.86082809230708401</v>
      </c>
      <c r="AJ207" s="68">
        <v>1045</v>
      </c>
      <c r="AK207" s="21">
        <f t="shared" si="99"/>
        <v>9.3025000000000002</v>
      </c>
      <c r="AL207" s="21">
        <f t="shared" si="93"/>
        <v>36.387658999999999</v>
      </c>
      <c r="AM207" s="21">
        <f t="shared" si="86"/>
        <v>1081.387659</v>
      </c>
      <c r="AN207" s="41">
        <f t="shared" si="100"/>
        <v>3.1713178069738115</v>
      </c>
      <c r="AO207" s="41">
        <f t="shared" si="101"/>
        <v>0.4484920653217665</v>
      </c>
      <c r="AP207" s="41">
        <f t="shared" si="102"/>
        <v>0.86082809230708401</v>
      </c>
      <c r="AQ207" s="21">
        <f t="shared" si="103"/>
        <v>68.283214239750038</v>
      </c>
      <c r="AR207" s="21">
        <f t="shared" si="104"/>
        <v>4087.6219999999998</v>
      </c>
      <c r="AS207" s="21">
        <f t="shared" si="105"/>
        <v>4155.9052142397495</v>
      </c>
      <c r="AT207" s="41">
        <f t="shared" si="106"/>
        <v>3.4374977396409774</v>
      </c>
      <c r="AU207" s="4"/>
    </row>
    <row r="208" spans="1:60" x14ac:dyDescent="0.25">
      <c r="A208" s="1"/>
      <c r="B208" s="10" t="s">
        <v>240</v>
      </c>
      <c r="C208" s="9">
        <v>305</v>
      </c>
      <c r="D208" s="10">
        <v>1220</v>
      </c>
      <c r="E208" s="9">
        <v>1118</v>
      </c>
      <c r="F208" s="1">
        <f>370*25.4</f>
        <v>9398</v>
      </c>
      <c r="G208" s="1">
        <f>308*25.4</f>
        <v>7823.2</v>
      </c>
      <c r="H208" s="1">
        <f t="shared" si="107"/>
        <v>152.39999999999998</v>
      </c>
      <c r="I208" s="1">
        <f>48*25.4</f>
        <v>1219.1999999999998</v>
      </c>
      <c r="J208" s="1">
        <f>7*25.4</f>
        <v>177.79999999999998</v>
      </c>
      <c r="K208" s="1">
        <f>12*25.4</f>
        <v>304.79999999999995</v>
      </c>
      <c r="L208" s="1">
        <f>154*25.4</f>
        <v>3911.6</v>
      </c>
      <c r="M208" s="1">
        <f t="shared" si="87"/>
        <v>3746.5</v>
      </c>
      <c r="N208" s="10">
        <v>11</v>
      </c>
      <c r="O208" s="1">
        <f>10/8*25.4</f>
        <v>31.75</v>
      </c>
      <c r="P208" s="27">
        <f t="shared" si="112"/>
        <v>8709.0347969882405</v>
      </c>
      <c r="Q208" s="36">
        <f t="shared" si="88"/>
        <v>2.5540440473293177E-2</v>
      </c>
      <c r="R208" s="21">
        <v>420</v>
      </c>
      <c r="S208" s="48">
        <f t="shared" si="84"/>
        <v>3.498747763864043</v>
      </c>
      <c r="T208" s="48">
        <f t="shared" si="85"/>
        <v>3.3510733452593917</v>
      </c>
      <c r="U208" s="10">
        <v>10</v>
      </c>
      <c r="V208" s="10">
        <v>50</v>
      </c>
      <c r="W208" s="62" t="s">
        <v>456</v>
      </c>
      <c r="X208" s="7">
        <f t="shared" si="95"/>
        <v>1</v>
      </c>
      <c r="Y208" s="10">
        <v>51</v>
      </c>
      <c r="Z208" s="9">
        <v>0.75</v>
      </c>
      <c r="AA208" s="9">
        <v>0.76</v>
      </c>
      <c r="AB208" s="67">
        <v>67</v>
      </c>
      <c r="AC208" s="9">
        <v>1096</v>
      </c>
      <c r="AD208" s="7">
        <f t="shared" si="96"/>
        <v>0.50249999999999995</v>
      </c>
      <c r="AE208" s="69">
        <f t="shared" si="91"/>
        <v>1008000</v>
      </c>
      <c r="AF208" s="69">
        <f t="shared" si="92"/>
        <v>2016</v>
      </c>
      <c r="AG208" s="48">
        <f t="shared" si="111"/>
        <v>3.062810226106337</v>
      </c>
      <c r="AH208" s="45">
        <f t="shared" si="97"/>
        <v>0.43314677607345875</v>
      </c>
      <c r="AI208" s="45">
        <f t="shared" si="98"/>
        <v>0.83137460340300706</v>
      </c>
      <c r="AJ208" s="69">
        <v>1008</v>
      </c>
      <c r="AK208" s="21">
        <f t="shared" si="99"/>
        <v>9.3025000000000002</v>
      </c>
      <c r="AL208" s="27">
        <f t="shared" si="93"/>
        <v>36.387658999999999</v>
      </c>
      <c r="AM208" s="27">
        <f t="shared" si="86"/>
        <v>1044.387659</v>
      </c>
      <c r="AN208" s="41">
        <f t="shared" si="100"/>
        <v>3.0628102261063375</v>
      </c>
      <c r="AO208" s="41">
        <f t="shared" si="101"/>
        <v>0.43314677607345881</v>
      </c>
      <c r="AP208" s="41">
        <f t="shared" si="102"/>
        <v>0.83137460340300717</v>
      </c>
      <c r="AQ208" s="21">
        <f t="shared" si="103"/>
        <v>68.283214239750038</v>
      </c>
      <c r="AR208" s="21">
        <f t="shared" si="104"/>
        <v>3942.8927999999996</v>
      </c>
      <c r="AS208" s="21">
        <f t="shared" si="105"/>
        <v>4011.1760142397497</v>
      </c>
      <c r="AT208" s="41">
        <f t="shared" si="106"/>
        <v>3.4353278069759141</v>
      </c>
      <c r="AU208" s="10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</row>
    <row r="209" spans="1:46" x14ac:dyDescent="0.25">
      <c r="A209" t="s">
        <v>25</v>
      </c>
      <c r="B209" s="4" t="s">
        <v>241</v>
      </c>
      <c r="C209" s="8">
        <v>200</v>
      </c>
      <c r="D209" s="4">
        <v>250</v>
      </c>
      <c r="E209" s="8">
        <v>180</v>
      </c>
      <c r="F209" s="4">
        <v>1500</v>
      </c>
      <c r="G209" s="8">
        <v>1200</v>
      </c>
      <c r="H209" s="4">
        <v>200</v>
      </c>
      <c r="I209">
        <f>C209</f>
        <v>200</v>
      </c>
      <c r="J209">
        <v>200</v>
      </c>
      <c r="K209">
        <f>I209</f>
        <v>200</v>
      </c>
      <c r="L209">
        <v>600</v>
      </c>
      <c r="M209">
        <f t="shared" si="87"/>
        <v>400</v>
      </c>
      <c r="N209" s="4">
        <v>8</v>
      </c>
      <c r="O209" s="4">
        <v>16</v>
      </c>
      <c r="P209" s="21">
        <f t="shared" si="112"/>
        <v>1608.4954386379741</v>
      </c>
      <c r="Q209" s="29">
        <f t="shared" si="88"/>
        <v>4.4680428851054832E-2</v>
      </c>
      <c r="R209" s="21">
        <v>590</v>
      </c>
      <c r="S209" s="41">
        <f t="shared" si="84"/>
        <v>3.3333333333333335</v>
      </c>
      <c r="T209" s="41">
        <f t="shared" si="85"/>
        <v>2.2222222222222223</v>
      </c>
      <c r="U209" s="4">
        <v>16</v>
      </c>
      <c r="V209" s="4">
        <v>90.6</v>
      </c>
      <c r="W209" s="61" t="s">
        <v>458</v>
      </c>
      <c r="X209" s="7">
        <v>0.5</v>
      </c>
      <c r="Y209" s="4">
        <v>6</v>
      </c>
      <c r="Z209" s="8">
        <v>1</v>
      </c>
      <c r="AA209" s="8">
        <v>0.15</v>
      </c>
      <c r="AB209" s="21">
        <f>Y209/AA209</f>
        <v>40</v>
      </c>
      <c r="AC209" s="8">
        <v>2600</v>
      </c>
      <c r="AD209" s="7">
        <f t="shared" si="96"/>
        <v>0.2</v>
      </c>
      <c r="AE209" s="68">
        <f t="shared" si="91"/>
        <v>299000</v>
      </c>
      <c r="AF209" s="68">
        <f t="shared" si="92"/>
        <v>598</v>
      </c>
      <c r="AG209" s="49">
        <f t="shared" si="111"/>
        <v>8.3263888888888875</v>
      </c>
      <c r="AH209" s="45">
        <f t="shared" si="97"/>
        <v>0.87476740477769566</v>
      </c>
      <c r="AI209" s="45">
        <f t="shared" si="98"/>
        <v>1.8538757564217161</v>
      </c>
      <c r="AJ209" s="68">
        <v>299</v>
      </c>
      <c r="AK209" s="21">
        <f t="shared" si="99"/>
        <v>1.25</v>
      </c>
      <c r="AL209" s="21">
        <f t="shared" si="93"/>
        <v>0.75</v>
      </c>
      <c r="AM209" s="68">
        <f t="shared" si="86"/>
        <v>299.75</v>
      </c>
      <c r="AN209" s="41">
        <f t="shared" si="100"/>
        <v>8.3263888888888893</v>
      </c>
      <c r="AO209" s="41">
        <f t="shared" si="101"/>
        <v>0.87476740477769588</v>
      </c>
      <c r="AP209" s="41">
        <f t="shared" si="102"/>
        <v>1.8538757564217165</v>
      </c>
      <c r="AQ209" s="21">
        <f t="shared" si="103"/>
        <v>0.2109375</v>
      </c>
      <c r="AR209" s="21">
        <f t="shared" si="104"/>
        <v>179.4</v>
      </c>
      <c r="AS209" s="21">
        <f t="shared" si="105"/>
        <v>179.61093750000001</v>
      </c>
      <c r="AT209" s="41">
        <f t="shared" si="106"/>
        <v>3.3289025576869617</v>
      </c>
    </row>
    <row r="210" spans="1:46" x14ac:dyDescent="0.25">
      <c r="A210">
        <v>2000</v>
      </c>
      <c r="B210" s="4" t="s">
        <v>242</v>
      </c>
      <c r="C210" s="8">
        <v>200</v>
      </c>
      <c r="D210" s="4">
        <v>250</v>
      </c>
      <c r="E210" s="8">
        <v>180</v>
      </c>
      <c r="F210" s="4">
        <v>1500</v>
      </c>
      <c r="G210" s="8">
        <v>1200</v>
      </c>
      <c r="H210" s="4">
        <v>200</v>
      </c>
      <c r="I210">
        <f t="shared" ref="I210:I273" si="113">C210</f>
        <v>200</v>
      </c>
      <c r="J210">
        <v>200</v>
      </c>
      <c r="K210">
        <f t="shared" ref="K210:K273" si="114">I210</f>
        <v>200</v>
      </c>
      <c r="L210">
        <v>600</v>
      </c>
      <c r="M210">
        <f t="shared" si="87"/>
        <v>400</v>
      </c>
      <c r="N210" s="4">
        <v>8</v>
      </c>
      <c r="O210" s="4">
        <v>16</v>
      </c>
      <c r="P210" s="21">
        <f t="shared" si="112"/>
        <v>1608.4954386379741</v>
      </c>
      <c r="Q210" s="29">
        <f t="shared" si="88"/>
        <v>4.4680428851054832E-2</v>
      </c>
      <c r="R210" s="21">
        <v>590</v>
      </c>
      <c r="S210" s="41">
        <f t="shared" si="84"/>
        <v>3.3333333333333335</v>
      </c>
      <c r="T210" s="41">
        <f t="shared" si="85"/>
        <v>2.2222222222222223</v>
      </c>
      <c r="U210" s="4">
        <v>16</v>
      </c>
      <c r="V210" s="4">
        <v>83.2</v>
      </c>
      <c r="W210" s="61" t="s">
        <v>459</v>
      </c>
      <c r="X210" s="7">
        <v>0.75</v>
      </c>
      <c r="Y210">
        <f>36/2</f>
        <v>18</v>
      </c>
      <c r="Z210" s="8">
        <v>1</v>
      </c>
      <c r="AA210">
        <f>(0.6+0.15)/2</f>
        <v>0.375</v>
      </c>
      <c r="AB210" s="21">
        <f>Y210/AA210</f>
        <v>48</v>
      </c>
      <c r="AC210">
        <f>(1100+2600)/2</f>
        <v>1850</v>
      </c>
      <c r="AD210" s="7">
        <f t="shared" si="96"/>
        <v>0.36</v>
      </c>
      <c r="AE210" s="68">
        <f t="shared" si="91"/>
        <v>295000</v>
      </c>
      <c r="AF210" s="68">
        <f t="shared" si="92"/>
        <v>590</v>
      </c>
      <c r="AG210" s="49">
        <f t="shared" si="111"/>
        <v>8.2152777777777786</v>
      </c>
      <c r="AH210" s="45">
        <f t="shared" si="97"/>
        <v>0.90065940697935376</v>
      </c>
      <c r="AI210" s="45">
        <f t="shared" si="98"/>
        <v>1.8818332759179757</v>
      </c>
      <c r="AJ210" s="68">
        <v>295</v>
      </c>
      <c r="AK210" s="21">
        <f t="shared" si="99"/>
        <v>1.25</v>
      </c>
      <c r="AL210" s="21">
        <f t="shared" si="93"/>
        <v>0.75</v>
      </c>
      <c r="AM210" s="68">
        <f t="shared" si="86"/>
        <v>295.75</v>
      </c>
      <c r="AN210" s="41">
        <f t="shared" si="100"/>
        <v>8.2152777777777786</v>
      </c>
      <c r="AO210" s="41">
        <f t="shared" si="101"/>
        <v>0.90065940697935376</v>
      </c>
      <c r="AP210" s="41">
        <f t="shared" si="102"/>
        <v>1.8818332759179757</v>
      </c>
      <c r="AQ210" s="21">
        <f t="shared" si="103"/>
        <v>0.2109375</v>
      </c>
      <c r="AR210" s="21">
        <f t="shared" si="104"/>
        <v>177</v>
      </c>
      <c r="AS210" s="21">
        <f t="shared" si="105"/>
        <v>177.2109375</v>
      </c>
      <c r="AT210" s="41">
        <f t="shared" si="106"/>
        <v>3.3288426317272473</v>
      </c>
    </row>
    <row r="211" spans="1:46" x14ac:dyDescent="0.25">
      <c r="B211" s="4" t="s">
        <v>243</v>
      </c>
      <c r="C211" s="8">
        <v>200</v>
      </c>
      <c r="D211" s="4">
        <v>250</v>
      </c>
      <c r="E211" s="8">
        <v>180</v>
      </c>
      <c r="F211" s="4">
        <v>1500</v>
      </c>
      <c r="G211" s="8">
        <v>1200</v>
      </c>
      <c r="H211" s="4">
        <v>200</v>
      </c>
      <c r="I211">
        <f t="shared" si="113"/>
        <v>200</v>
      </c>
      <c r="J211">
        <v>200</v>
      </c>
      <c r="K211">
        <f t="shared" si="114"/>
        <v>200</v>
      </c>
      <c r="L211">
        <v>600</v>
      </c>
      <c r="M211">
        <f t="shared" si="87"/>
        <v>400</v>
      </c>
      <c r="N211" s="4">
        <v>8</v>
      </c>
      <c r="O211" s="4">
        <v>16</v>
      </c>
      <c r="P211" s="21">
        <f t="shared" si="112"/>
        <v>1608.4954386379741</v>
      </c>
      <c r="Q211" s="29">
        <f t="shared" si="88"/>
        <v>4.4680428851054832E-2</v>
      </c>
      <c r="R211" s="21">
        <v>590</v>
      </c>
      <c r="S211" s="41">
        <f t="shared" si="84"/>
        <v>3.3333333333333335</v>
      </c>
      <c r="T211" s="41">
        <f t="shared" si="85"/>
        <v>2.2222222222222223</v>
      </c>
      <c r="U211" s="4">
        <v>16</v>
      </c>
      <c r="V211" s="4">
        <v>80.5</v>
      </c>
      <c r="W211" s="61" t="s">
        <v>456</v>
      </c>
      <c r="X211" s="7">
        <f t="shared" si="95"/>
        <v>1</v>
      </c>
      <c r="Y211">
        <v>60</v>
      </c>
      <c r="Z211" s="8">
        <v>0.5</v>
      </c>
      <c r="AA211" s="8">
        <v>0.7</v>
      </c>
      <c r="AB211" s="21">
        <f t="shared" ref="AB211:AB227" si="115">Y211/AA211</f>
        <v>85.714285714285722</v>
      </c>
      <c r="AC211" s="8">
        <v>2200</v>
      </c>
      <c r="AD211" s="7">
        <f t="shared" si="96"/>
        <v>0.4285714285714286</v>
      </c>
      <c r="AE211" s="68">
        <f t="shared" si="91"/>
        <v>252000</v>
      </c>
      <c r="AF211" s="68">
        <f t="shared" si="92"/>
        <v>504</v>
      </c>
      <c r="AG211" s="49">
        <f t="shared" si="111"/>
        <v>7.020833333333333</v>
      </c>
      <c r="AH211" s="45">
        <f t="shared" si="97"/>
        <v>0.78251149015789112</v>
      </c>
      <c r="AI211" s="45">
        <f t="shared" si="98"/>
        <v>1.6260105910028573</v>
      </c>
      <c r="AJ211" s="68">
        <v>252</v>
      </c>
      <c r="AK211" s="21">
        <f t="shared" si="99"/>
        <v>1.25</v>
      </c>
      <c r="AL211" s="21">
        <f t="shared" si="93"/>
        <v>0.75</v>
      </c>
      <c r="AM211" s="68">
        <f t="shared" si="86"/>
        <v>252.75</v>
      </c>
      <c r="AN211" s="41">
        <f t="shared" si="100"/>
        <v>7.020833333333333</v>
      </c>
      <c r="AO211" s="41">
        <f t="shared" si="101"/>
        <v>0.78251149015789112</v>
      </c>
      <c r="AP211" s="41">
        <f t="shared" si="102"/>
        <v>1.6260105910028573</v>
      </c>
      <c r="AQ211" s="21">
        <f t="shared" si="103"/>
        <v>0.2109375</v>
      </c>
      <c r="AR211" s="21">
        <f t="shared" si="104"/>
        <v>151.19999999999999</v>
      </c>
      <c r="AS211" s="21">
        <f t="shared" si="105"/>
        <v>151.41093749999999</v>
      </c>
      <c r="AT211" s="41">
        <f t="shared" si="106"/>
        <v>3.3280786350148368</v>
      </c>
    </row>
    <row r="212" spans="1:46" x14ac:dyDescent="0.25">
      <c r="B212" s="4" t="s">
        <v>244</v>
      </c>
      <c r="C212" s="8">
        <v>200</v>
      </c>
      <c r="D212" s="4">
        <v>250</v>
      </c>
      <c r="E212" s="8">
        <v>180</v>
      </c>
      <c r="F212" s="4">
        <v>1500</v>
      </c>
      <c r="G212" s="8">
        <v>1200</v>
      </c>
      <c r="H212" s="4">
        <v>200</v>
      </c>
      <c r="I212">
        <f t="shared" si="113"/>
        <v>200</v>
      </c>
      <c r="J212">
        <v>200</v>
      </c>
      <c r="K212">
        <f t="shared" si="114"/>
        <v>200</v>
      </c>
      <c r="L212">
        <v>600</v>
      </c>
      <c r="M212">
        <f t="shared" si="87"/>
        <v>400</v>
      </c>
      <c r="N212" s="4">
        <v>8</v>
      </c>
      <c r="O212" s="4">
        <v>16</v>
      </c>
      <c r="P212" s="21">
        <f t="shared" si="112"/>
        <v>1608.4954386379741</v>
      </c>
      <c r="Q212" s="29">
        <f t="shared" si="88"/>
        <v>4.4680428851054832E-2</v>
      </c>
      <c r="R212" s="21">
        <v>590</v>
      </c>
      <c r="S212" s="41">
        <f t="shared" si="84"/>
        <v>3.3333333333333335</v>
      </c>
      <c r="T212" s="41">
        <f t="shared" si="85"/>
        <v>2.2222222222222223</v>
      </c>
      <c r="U212" s="4">
        <v>16</v>
      </c>
      <c r="V212" s="4">
        <v>80.5</v>
      </c>
      <c r="W212" s="61" t="s">
        <v>456</v>
      </c>
      <c r="X212" s="7">
        <f t="shared" si="95"/>
        <v>1</v>
      </c>
      <c r="Y212">
        <v>60</v>
      </c>
      <c r="Z212" s="8">
        <v>0.75</v>
      </c>
      <c r="AA212" s="8">
        <v>0.7</v>
      </c>
      <c r="AB212" s="21">
        <f t="shared" si="115"/>
        <v>85.714285714285722</v>
      </c>
      <c r="AC212" s="8">
        <v>2200</v>
      </c>
      <c r="AD212" s="7">
        <f t="shared" si="96"/>
        <v>0.6428571428571429</v>
      </c>
      <c r="AE212" s="68">
        <f t="shared" si="91"/>
        <v>262000</v>
      </c>
      <c r="AF212" s="68">
        <f t="shared" si="92"/>
        <v>524</v>
      </c>
      <c r="AG212" s="49">
        <f t="shared" si="111"/>
        <v>7.2986111111111107</v>
      </c>
      <c r="AH212" s="45">
        <f t="shared" si="97"/>
        <v>0.81347139085652187</v>
      </c>
      <c r="AI212" s="45">
        <f t="shared" si="98"/>
        <v>1.6903433542472828</v>
      </c>
      <c r="AJ212" s="68">
        <v>262</v>
      </c>
      <c r="AK212" s="21">
        <f t="shared" si="99"/>
        <v>1.25</v>
      </c>
      <c r="AL212" s="21">
        <f t="shared" si="93"/>
        <v>0.75</v>
      </c>
      <c r="AM212" s="68">
        <f t="shared" si="86"/>
        <v>262.75</v>
      </c>
      <c r="AN212" s="41">
        <f t="shared" si="100"/>
        <v>7.2986111111111107</v>
      </c>
      <c r="AO212" s="41">
        <f t="shared" si="101"/>
        <v>0.81347139085652187</v>
      </c>
      <c r="AP212" s="41">
        <f t="shared" si="102"/>
        <v>1.6903433542472828</v>
      </c>
      <c r="AQ212" s="21">
        <f t="shared" si="103"/>
        <v>0.2109375</v>
      </c>
      <c r="AR212" s="21">
        <f t="shared" si="104"/>
        <v>157.19999999999999</v>
      </c>
      <c r="AS212" s="21">
        <f t="shared" si="105"/>
        <v>157.41093749999999</v>
      </c>
      <c r="AT212" s="41">
        <f t="shared" si="106"/>
        <v>3.3282786235331425</v>
      </c>
    </row>
    <row r="213" spans="1:46" x14ac:dyDescent="0.25">
      <c r="B213" s="4" t="s">
        <v>245</v>
      </c>
      <c r="C213" s="8">
        <v>200</v>
      </c>
      <c r="D213" s="4">
        <v>250</v>
      </c>
      <c r="E213" s="8">
        <v>195</v>
      </c>
      <c r="F213" s="4">
        <v>1500</v>
      </c>
      <c r="G213" s="8">
        <v>1200</v>
      </c>
      <c r="H213" s="4">
        <v>200</v>
      </c>
      <c r="I213">
        <f t="shared" si="113"/>
        <v>200</v>
      </c>
      <c r="J213">
        <v>200</v>
      </c>
      <c r="K213">
        <f t="shared" si="114"/>
        <v>200</v>
      </c>
      <c r="L213">
        <v>600</v>
      </c>
      <c r="M213">
        <f t="shared" si="87"/>
        <v>400</v>
      </c>
      <c r="N213" s="4">
        <v>6</v>
      </c>
      <c r="O213" s="4">
        <v>16</v>
      </c>
      <c r="P213" s="21">
        <f t="shared" si="112"/>
        <v>1206.3715789784806</v>
      </c>
      <c r="Q213" s="29">
        <f t="shared" si="88"/>
        <v>3.0932604589191809E-2</v>
      </c>
      <c r="R213" s="21">
        <v>590</v>
      </c>
      <c r="S213" s="41">
        <f t="shared" si="84"/>
        <v>3.0769230769230771</v>
      </c>
      <c r="T213" s="41">
        <f t="shared" si="85"/>
        <v>2.0512820512820511</v>
      </c>
      <c r="U213" s="4">
        <v>16</v>
      </c>
      <c r="V213" s="4">
        <v>39.4</v>
      </c>
      <c r="W213" s="61" t="s">
        <v>459</v>
      </c>
      <c r="X213" s="7">
        <v>0.75</v>
      </c>
      <c r="Y213">
        <f>36/2</f>
        <v>18</v>
      </c>
      <c r="Z213" s="8">
        <v>1</v>
      </c>
      <c r="AA213">
        <f>(0.6+0.15)/2</f>
        <v>0.375</v>
      </c>
      <c r="AB213" s="21">
        <f t="shared" si="115"/>
        <v>48</v>
      </c>
      <c r="AC213">
        <f>(1100+2600)/2</f>
        <v>1850</v>
      </c>
      <c r="AD213" s="7">
        <f t="shared" si="96"/>
        <v>0.36</v>
      </c>
      <c r="AE213" s="68">
        <f t="shared" si="91"/>
        <v>189000</v>
      </c>
      <c r="AF213" s="68">
        <f t="shared" si="92"/>
        <v>378</v>
      </c>
      <c r="AG213" s="49">
        <f t="shared" si="111"/>
        <v>4.865384615384615</v>
      </c>
      <c r="AH213" s="45">
        <f t="shared" si="97"/>
        <v>0.77512022083136067</v>
      </c>
      <c r="AI213" s="45">
        <f t="shared" si="98"/>
        <v>1.4298323000627757</v>
      </c>
      <c r="AJ213" s="68">
        <v>189</v>
      </c>
      <c r="AK213" s="21">
        <f t="shared" si="99"/>
        <v>1.25</v>
      </c>
      <c r="AL213" s="21">
        <f t="shared" si="93"/>
        <v>0.75</v>
      </c>
      <c r="AM213" s="68">
        <f t="shared" si="86"/>
        <v>189.75</v>
      </c>
      <c r="AN213" s="41">
        <f t="shared" si="100"/>
        <v>4.865384615384615</v>
      </c>
      <c r="AO213" s="41">
        <f t="shared" si="101"/>
        <v>0.77512022083136067</v>
      </c>
      <c r="AP213" s="41">
        <f t="shared" si="102"/>
        <v>1.4298323000627757</v>
      </c>
      <c r="AQ213" s="21">
        <f t="shared" si="103"/>
        <v>0.2109375</v>
      </c>
      <c r="AR213" s="21">
        <f t="shared" si="104"/>
        <v>113.4</v>
      </c>
      <c r="AS213" s="21">
        <f t="shared" si="105"/>
        <v>113.61093750000001</v>
      </c>
      <c r="AT213" s="41">
        <f t="shared" si="106"/>
        <v>3.0704621465491031</v>
      </c>
    </row>
    <row r="214" spans="1:46" x14ac:dyDescent="0.25">
      <c r="B214" s="4" t="s">
        <v>246</v>
      </c>
      <c r="C214" s="8">
        <v>200</v>
      </c>
      <c r="D214" s="4">
        <v>300</v>
      </c>
      <c r="E214" s="8">
        <v>235</v>
      </c>
      <c r="F214" s="4">
        <v>1500</v>
      </c>
      <c r="G214" s="8">
        <v>1300</v>
      </c>
      <c r="H214" s="4">
        <v>200</v>
      </c>
      <c r="I214">
        <f t="shared" si="113"/>
        <v>200</v>
      </c>
      <c r="J214">
        <v>200</v>
      </c>
      <c r="K214">
        <f t="shared" si="114"/>
        <v>200</v>
      </c>
      <c r="L214">
        <v>650</v>
      </c>
      <c r="M214">
        <f t="shared" si="87"/>
        <v>450</v>
      </c>
      <c r="N214" s="4">
        <v>10</v>
      </c>
      <c r="O214" s="4">
        <v>16</v>
      </c>
      <c r="P214" s="21">
        <f t="shared" si="112"/>
        <v>2010.6192982974676</v>
      </c>
      <c r="Q214" s="29">
        <f t="shared" si="88"/>
        <v>4.27791340063291E-2</v>
      </c>
      <c r="R214" s="21">
        <v>500</v>
      </c>
      <c r="S214" s="41">
        <f t="shared" si="84"/>
        <v>2.7659574468085109</v>
      </c>
      <c r="T214" s="41">
        <f t="shared" si="85"/>
        <v>1.9148936170212767</v>
      </c>
      <c r="U214" s="4">
        <v>16</v>
      </c>
      <c r="V214" s="4">
        <v>91.4</v>
      </c>
      <c r="W214" s="61" t="s">
        <v>456</v>
      </c>
      <c r="X214" s="7">
        <f t="shared" si="95"/>
        <v>1</v>
      </c>
      <c r="Y214">
        <v>30</v>
      </c>
      <c r="Z214" s="8">
        <v>1</v>
      </c>
      <c r="AA214" s="8">
        <v>0.6</v>
      </c>
      <c r="AB214" s="21">
        <f t="shared" si="115"/>
        <v>50</v>
      </c>
      <c r="AC214" s="8">
        <v>1100</v>
      </c>
      <c r="AD214" s="7">
        <f t="shared" si="96"/>
        <v>0.5</v>
      </c>
      <c r="AE214" s="68">
        <f t="shared" si="91"/>
        <v>310000</v>
      </c>
      <c r="AF214" s="68">
        <f t="shared" si="92"/>
        <v>620</v>
      </c>
      <c r="AG214" s="49">
        <f t="shared" si="111"/>
        <v>6.6164893617021283</v>
      </c>
      <c r="AH214" s="45">
        <f t="shared" si="97"/>
        <v>0.6920771661222509</v>
      </c>
      <c r="AI214" s="45">
        <f t="shared" si="98"/>
        <v>1.4688548670918515</v>
      </c>
      <c r="AJ214" s="68">
        <v>310</v>
      </c>
      <c r="AK214" s="21">
        <f t="shared" si="99"/>
        <v>1.5</v>
      </c>
      <c r="AL214" s="21">
        <f t="shared" si="93"/>
        <v>0.97499999999999998</v>
      </c>
      <c r="AM214" s="68">
        <f t="shared" si="86"/>
        <v>310.97500000000002</v>
      </c>
      <c r="AN214" s="41">
        <f t="shared" si="100"/>
        <v>6.6164893617021274</v>
      </c>
      <c r="AO214" s="41">
        <f t="shared" si="101"/>
        <v>0.69207716612225079</v>
      </c>
      <c r="AP214" s="41">
        <f t="shared" si="102"/>
        <v>1.4688548670918513</v>
      </c>
      <c r="AQ214" s="21">
        <f t="shared" si="103"/>
        <v>0.30937499999999996</v>
      </c>
      <c r="AR214" s="21">
        <f t="shared" si="104"/>
        <v>201.5</v>
      </c>
      <c r="AS214" s="21">
        <f t="shared" si="105"/>
        <v>201.80937499999999</v>
      </c>
      <c r="AT214" s="41">
        <f t="shared" si="106"/>
        <v>2.7615187647635349</v>
      </c>
    </row>
    <row r="215" spans="1:46" x14ac:dyDescent="0.25">
      <c r="B215" s="4" t="s">
        <v>247</v>
      </c>
      <c r="C215" s="8">
        <v>200</v>
      </c>
      <c r="D215" s="4">
        <v>300</v>
      </c>
      <c r="E215" s="8">
        <v>235</v>
      </c>
      <c r="F215" s="4">
        <v>1500</v>
      </c>
      <c r="G215" s="8">
        <v>1300</v>
      </c>
      <c r="H215" s="4">
        <v>200</v>
      </c>
      <c r="I215">
        <f t="shared" si="113"/>
        <v>200</v>
      </c>
      <c r="J215">
        <v>200</v>
      </c>
      <c r="K215">
        <f t="shared" si="114"/>
        <v>200</v>
      </c>
      <c r="L215">
        <v>650</v>
      </c>
      <c r="M215">
        <f t="shared" si="87"/>
        <v>450</v>
      </c>
      <c r="N215" s="4">
        <v>10</v>
      </c>
      <c r="O215" s="4">
        <v>16</v>
      </c>
      <c r="P215" s="21">
        <f t="shared" si="112"/>
        <v>2010.6192982974676</v>
      </c>
      <c r="Q215" s="29">
        <f t="shared" si="88"/>
        <v>4.27791340063291E-2</v>
      </c>
      <c r="R215" s="21">
        <v>500</v>
      </c>
      <c r="S215" s="41">
        <f t="shared" si="84"/>
        <v>2.7659574468085109</v>
      </c>
      <c r="T215" s="41">
        <f t="shared" si="85"/>
        <v>1.9148936170212767</v>
      </c>
      <c r="U215" s="4">
        <v>16</v>
      </c>
      <c r="V215" s="4">
        <v>93.3</v>
      </c>
      <c r="W215" s="61" t="s">
        <v>458</v>
      </c>
      <c r="X215" s="7">
        <v>0.5</v>
      </c>
      <c r="Y215" s="4">
        <v>6</v>
      </c>
      <c r="Z215" s="8">
        <v>1</v>
      </c>
      <c r="AA215" s="8">
        <v>0.15</v>
      </c>
      <c r="AB215" s="21">
        <f t="shared" si="115"/>
        <v>40</v>
      </c>
      <c r="AC215" s="8">
        <v>2600</v>
      </c>
      <c r="AD215" s="7">
        <f t="shared" si="96"/>
        <v>0.2</v>
      </c>
      <c r="AE215" s="68">
        <f t="shared" si="91"/>
        <v>363000</v>
      </c>
      <c r="AF215" s="68">
        <f t="shared" si="92"/>
        <v>726</v>
      </c>
      <c r="AG215" s="49">
        <f t="shared" si="111"/>
        <v>7.7441489361702134</v>
      </c>
      <c r="AH215" s="45">
        <f t="shared" si="97"/>
        <v>0.80173875050944654</v>
      </c>
      <c r="AI215" s="45">
        <f t="shared" si="98"/>
        <v>1.7074440526905803</v>
      </c>
      <c r="AJ215" s="68">
        <v>363</v>
      </c>
      <c r="AK215" s="21">
        <f t="shared" si="99"/>
        <v>1.5</v>
      </c>
      <c r="AL215" s="21">
        <f t="shared" si="93"/>
        <v>0.97499999999999998</v>
      </c>
      <c r="AM215" s="68">
        <f t="shared" si="86"/>
        <v>363.97500000000002</v>
      </c>
      <c r="AN215" s="41">
        <f t="shared" si="100"/>
        <v>7.7441489361702125</v>
      </c>
      <c r="AO215" s="41">
        <f t="shared" si="101"/>
        <v>0.80173875050944643</v>
      </c>
      <c r="AP215" s="41">
        <f t="shared" si="102"/>
        <v>1.7074440526905801</v>
      </c>
      <c r="AQ215" s="21">
        <f t="shared" si="103"/>
        <v>0.30937499999999996</v>
      </c>
      <c r="AR215" s="21">
        <f t="shared" si="104"/>
        <v>235.95</v>
      </c>
      <c r="AS215" s="21">
        <f t="shared" si="105"/>
        <v>236.25937499999998</v>
      </c>
      <c r="AT215" s="41">
        <f t="shared" si="106"/>
        <v>2.7621651007711829</v>
      </c>
    </row>
    <row r="216" spans="1:46" x14ac:dyDescent="0.25">
      <c r="B216" s="4" t="s">
        <v>248</v>
      </c>
      <c r="C216" s="8">
        <v>200</v>
      </c>
      <c r="D216" s="4">
        <v>300</v>
      </c>
      <c r="E216" s="8">
        <v>235</v>
      </c>
      <c r="F216" s="4">
        <v>1500</v>
      </c>
      <c r="G216" s="8">
        <v>1300</v>
      </c>
      <c r="H216" s="4">
        <v>200</v>
      </c>
      <c r="I216">
        <f t="shared" si="113"/>
        <v>200</v>
      </c>
      <c r="J216">
        <v>200</v>
      </c>
      <c r="K216">
        <f t="shared" si="114"/>
        <v>200</v>
      </c>
      <c r="L216">
        <v>650</v>
      </c>
      <c r="M216">
        <f t="shared" si="87"/>
        <v>450</v>
      </c>
      <c r="N216" s="4">
        <v>10</v>
      </c>
      <c r="O216" s="4">
        <v>16</v>
      </c>
      <c r="P216" s="21">
        <f t="shared" si="112"/>
        <v>2010.6192982974676</v>
      </c>
      <c r="Q216" s="29">
        <f t="shared" si="88"/>
        <v>4.27791340063291E-2</v>
      </c>
      <c r="R216" s="21">
        <v>500</v>
      </c>
      <c r="S216" s="41">
        <f t="shared" ref="S216:S281" si="116">L216/E216</f>
        <v>2.7659574468085109</v>
      </c>
      <c r="T216" s="41">
        <f t="shared" ref="T216:T281" si="117">M216/E216</f>
        <v>1.9148936170212767</v>
      </c>
      <c r="U216" s="4">
        <v>16</v>
      </c>
      <c r="V216" s="4">
        <v>89.6</v>
      </c>
      <c r="W216" s="61" t="s">
        <v>459</v>
      </c>
      <c r="X216" s="7">
        <v>0.75</v>
      </c>
      <c r="Y216">
        <f>36/2</f>
        <v>18</v>
      </c>
      <c r="Z216" s="8">
        <v>1</v>
      </c>
      <c r="AA216">
        <f>(0.6+0.15)/2</f>
        <v>0.375</v>
      </c>
      <c r="AB216" s="21">
        <f t="shared" si="115"/>
        <v>48</v>
      </c>
      <c r="AC216">
        <f>(1100+2600)/2</f>
        <v>1850</v>
      </c>
      <c r="AD216" s="7">
        <f t="shared" si="96"/>
        <v>0.36</v>
      </c>
      <c r="AE216" s="68">
        <f t="shared" si="91"/>
        <v>407000</v>
      </c>
      <c r="AF216" s="68">
        <f t="shared" si="92"/>
        <v>814</v>
      </c>
      <c r="AG216" s="49">
        <f t="shared" si="111"/>
        <v>8.6803191489361708</v>
      </c>
      <c r="AH216" s="45">
        <f t="shared" si="97"/>
        <v>0.91702608264060259</v>
      </c>
      <c r="AI216" s="45">
        <f t="shared" si="98"/>
        <v>1.9398419932501185</v>
      </c>
      <c r="AJ216" s="68">
        <v>407</v>
      </c>
      <c r="AK216" s="21">
        <f t="shared" si="99"/>
        <v>1.5</v>
      </c>
      <c r="AL216" s="21">
        <f t="shared" si="93"/>
        <v>0.97499999999999998</v>
      </c>
      <c r="AM216" s="68">
        <f t="shared" ref="AM216:AM282" si="118">AJ216+AL216</f>
        <v>407.97500000000002</v>
      </c>
      <c r="AN216" s="41">
        <f t="shared" si="100"/>
        <v>8.6803191489361708</v>
      </c>
      <c r="AO216" s="41">
        <f t="shared" si="101"/>
        <v>0.91702608264060259</v>
      </c>
      <c r="AP216" s="41">
        <f t="shared" si="102"/>
        <v>1.9398419932501185</v>
      </c>
      <c r="AQ216" s="21">
        <f t="shared" si="103"/>
        <v>0.30937499999999996</v>
      </c>
      <c r="AR216" s="21">
        <f t="shared" si="104"/>
        <v>264.55</v>
      </c>
      <c r="AS216" s="21">
        <f t="shared" si="105"/>
        <v>264.859375</v>
      </c>
      <c r="AT216" s="41">
        <f t="shared" si="106"/>
        <v>2.7625741043268972</v>
      </c>
    </row>
    <row r="217" spans="1:46" x14ac:dyDescent="0.25">
      <c r="B217" s="4" t="s">
        <v>249</v>
      </c>
      <c r="C217" s="8">
        <v>200</v>
      </c>
      <c r="D217" s="4">
        <v>500</v>
      </c>
      <c r="E217" s="8">
        <v>410</v>
      </c>
      <c r="F217" s="4">
        <v>3600</v>
      </c>
      <c r="G217" s="4">
        <v>3000</v>
      </c>
      <c r="H217" s="4">
        <v>200</v>
      </c>
      <c r="I217">
        <f t="shared" si="113"/>
        <v>200</v>
      </c>
      <c r="J217">
        <v>200</v>
      </c>
      <c r="K217">
        <f t="shared" si="114"/>
        <v>200</v>
      </c>
      <c r="L217">
        <v>1200</v>
      </c>
      <c r="M217">
        <f t="shared" si="87"/>
        <v>1000</v>
      </c>
      <c r="N217" s="4">
        <v>8</v>
      </c>
      <c r="O217" s="4">
        <v>20</v>
      </c>
      <c r="P217" s="21">
        <f t="shared" si="112"/>
        <v>2513.2741228718346</v>
      </c>
      <c r="Q217" s="29">
        <f t="shared" si="88"/>
        <v>3.0649684425266277E-2</v>
      </c>
      <c r="R217" s="21">
        <v>590</v>
      </c>
      <c r="S217" s="41">
        <f t="shared" si="116"/>
        <v>2.9268292682926829</v>
      </c>
      <c r="T217" s="41">
        <f t="shared" si="117"/>
        <v>2.4390243902439024</v>
      </c>
      <c r="U217" s="4">
        <v>18</v>
      </c>
      <c r="V217" s="4">
        <v>76.8</v>
      </c>
      <c r="W217" s="61" t="s">
        <v>458</v>
      </c>
      <c r="X217" s="7">
        <v>0.5</v>
      </c>
      <c r="Y217" s="4">
        <v>6</v>
      </c>
      <c r="Z217" s="8">
        <v>1</v>
      </c>
      <c r="AA217" s="8">
        <v>0.15</v>
      </c>
      <c r="AB217" s="21">
        <f t="shared" si="115"/>
        <v>40</v>
      </c>
      <c r="AC217">
        <v>2600</v>
      </c>
      <c r="AD217" s="7">
        <f t="shared" si="96"/>
        <v>0.2</v>
      </c>
      <c r="AE217" s="68">
        <f t="shared" si="91"/>
        <v>289000</v>
      </c>
      <c r="AF217" s="68">
        <f t="shared" si="92"/>
        <v>578</v>
      </c>
      <c r="AG217" s="49">
        <f t="shared" si="111"/>
        <v>3.5701219512195124</v>
      </c>
      <c r="AH217" s="45">
        <f t="shared" si="97"/>
        <v>0.40738256785985111</v>
      </c>
      <c r="AI217" s="45">
        <f t="shared" si="98"/>
        <v>0.83990334589914983</v>
      </c>
      <c r="AJ217" s="68">
        <v>289</v>
      </c>
      <c r="AK217" s="21">
        <f t="shared" si="99"/>
        <v>2.5</v>
      </c>
      <c r="AL217" s="21">
        <f t="shared" si="93"/>
        <v>3.75</v>
      </c>
      <c r="AM217" s="68">
        <f t="shared" si="118"/>
        <v>292.75</v>
      </c>
      <c r="AN217" s="41">
        <f t="shared" si="100"/>
        <v>3.5701219512195124</v>
      </c>
      <c r="AO217" s="41">
        <f t="shared" si="101"/>
        <v>0.40738256785985111</v>
      </c>
      <c r="AP217" s="41">
        <f t="shared" si="102"/>
        <v>0.83990334589914983</v>
      </c>
      <c r="AQ217" s="21">
        <f t="shared" si="103"/>
        <v>2.5875000000000004</v>
      </c>
      <c r="AR217" s="21">
        <f t="shared" si="104"/>
        <v>346.8</v>
      </c>
      <c r="AS217" s="21">
        <f t="shared" si="105"/>
        <v>349.38749999999999</v>
      </c>
      <c r="AT217" s="41">
        <f t="shared" si="106"/>
        <v>2.9108954197996293</v>
      </c>
    </row>
    <row r="218" spans="1:46" x14ac:dyDescent="0.25">
      <c r="B218" s="4" t="s">
        <v>249</v>
      </c>
      <c r="C218" s="8">
        <v>200</v>
      </c>
      <c r="D218" s="4">
        <v>500</v>
      </c>
      <c r="E218" s="8">
        <v>410</v>
      </c>
      <c r="F218" s="4">
        <v>3600</v>
      </c>
      <c r="G218" s="4">
        <v>3000</v>
      </c>
      <c r="H218" s="4">
        <v>200</v>
      </c>
      <c r="I218">
        <f t="shared" si="113"/>
        <v>200</v>
      </c>
      <c r="J218">
        <v>200</v>
      </c>
      <c r="K218">
        <f t="shared" si="114"/>
        <v>200</v>
      </c>
      <c r="L218">
        <v>1200</v>
      </c>
      <c r="M218">
        <f t="shared" si="87"/>
        <v>1000</v>
      </c>
      <c r="N218" s="4">
        <v>8</v>
      </c>
      <c r="O218" s="4">
        <v>20</v>
      </c>
      <c r="P218" s="21">
        <f t="shared" si="112"/>
        <v>2513.2741228718346</v>
      </c>
      <c r="Q218" s="29">
        <f t="shared" si="88"/>
        <v>3.0649684425266277E-2</v>
      </c>
      <c r="R218" s="21">
        <v>590</v>
      </c>
      <c r="S218" s="41">
        <f t="shared" si="116"/>
        <v>2.9268292682926829</v>
      </c>
      <c r="T218" s="41">
        <f t="shared" si="117"/>
        <v>2.4390243902439024</v>
      </c>
      <c r="U218" s="4">
        <v>18</v>
      </c>
      <c r="V218" s="4">
        <v>76.8</v>
      </c>
      <c r="W218" s="61" t="s">
        <v>458</v>
      </c>
      <c r="X218" s="7">
        <v>0.5</v>
      </c>
      <c r="Y218" s="4">
        <v>6</v>
      </c>
      <c r="Z218" s="8">
        <v>1</v>
      </c>
      <c r="AA218" s="8">
        <v>0.15</v>
      </c>
      <c r="AB218" s="21">
        <f t="shared" si="115"/>
        <v>40</v>
      </c>
      <c r="AC218" s="8">
        <v>2600</v>
      </c>
      <c r="AD218" s="7">
        <f t="shared" si="96"/>
        <v>0.2</v>
      </c>
      <c r="AE218" s="68">
        <f t="shared" si="91"/>
        <v>336000</v>
      </c>
      <c r="AF218" s="68">
        <f t="shared" si="92"/>
        <v>672</v>
      </c>
      <c r="AG218" s="49">
        <f t="shared" si="111"/>
        <v>4.1432926829268295</v>
      </c>
      <c r="AH218" s="45">
        <f t="shared" si="97"/>
        <v>0.47278643016356758</v>
      </c>
      <c r="AI218" s="45">
        <f t="shared" si="98"/>
        <v>0.97474692320832157</v>
      </c>
      <c r="AJ218" s="68">
        <v>336</v>
      </c>
      <c r="AK218" s="21">
        <f t="shared" si="99"/>
        <v>2.5</v>
      </c>
      <c r="AL218" s="21">
        <f t="shared" si="93"/>
        <v>3.75</v>
      </c>
      <c r="AM218" s="68">
        <f t="shared" si="118"/>
        <v>339.75</v>
      </c>
      <c r="AN218" s="41">
        <f t="shared" si="100"/>
        <v>4.1432926829268295</v>
      </c>
      <c r="AO218" s="41">
        <f t="shared" si="101"/>
        <v>0.47278643016356758</v>
      </c>
      <c r="AP218" s="41">
        <f t="shared" si="102"/>
        <v>0.97474692320832157</v>
      </c>
      <c r="AQ218" s="21">
        <f t="shared" si="103"/>
        <v>2.5875000000000004</v>
      </c>
      <c r="AR218" s="21">
        <f t="shared" si="104"/>
        <v>403.2</v>
      </c>
      <c r="AS218" s="21">
        <f t="shared" si="105"/>
        <v>405.78749999999997</v>
      </c>
      <c r="AT218" s="41">
        <f t="shared" si="106"/>
        <v>2.9130996607979318</v>
      </c>
    </row>
    <row r="219" spans="1:46" x14ac:dyDescent="0.25">
      <c r="B219" s="4" t="s">
        <v>250</v>
      </c>
      <c r="C219" s="8">
        <v>200</v>
      </c>
      <c r="D219" s="4">
        <v>500</v>
      </c>
      <c r="E219" s="8">
        <v>410</v>
      </c>
      <c r="F219" s="4">
        <v>3600</v>
      </c>
      <c r="G219" s="4">
        <v>3000</v>
      </c>
      <c r="H219" s="4">
        <v>200</v>
      </c>
      <c r="I219">
        <f t="shared" si="113"/>
        <v>200</v>
      </c>
      <c r="J219">
        <v>200</v>
      </c>
      <c r="K219">
        <f t="shared" si="114"/>
        <v>200</v>
      </c>
      <c r="L219">
        <v>1200</v>
      </c>
      <c r="M219">
        <f t="shared" si="87"/>
        <v>1000</v>
      </c>
      <c r="N219" s="4">
        <v>8</v>
      </c>
      <c r="O219" s="4">
        <v>20</v>
      </c>
      <c r="P219" s="21">
        <f t="shared" si="112"/>
        <v>2513.2741228718346</v>
      </c>
      <c r="Q219" s="29">
        <f t="shared" si="88"/>
        <v>3.0649684425266277E-2</v>
      </c>
      <c r="R219" s="21">
        <v>590</v>
      </c>
      <c r="S219" s="41">
        <f t="shared" si="116"/>
        <v>2.9268292682926829</v>
      </c>
      <c r="T219" s="41">
        <f t="shared" si="117"/>
        <v>2.4390243902439024</v>
      </c>
      <c r="U219" s="4">
        <v>18</v>
      </c>
      <c r="V219" s="4">
        <v>72</v>
      </c>
      <c r="W219" s="61" t="s">
        <v>459</v>
      </c>
      <c r="X219" s="7">
        <v>0.75</v>
      </c>
      <c r="Y219">
        <f>36/2</f>
        <v>18</v>
      </c>
      <c r="Z219" s="8">
        <v>1</v>
      </c>
      <c r="AA219">
        <f>(0.6+0.15)/2</f>
        <v>0.375</v>
      </c>
      <c r="AB219" s="21">
        <f t="shared" si="115"/>
        <v>48</v>
      </c>
      <c r="AC219">
        <f>(1100+2600)/2</f>
        <v>1850</v>
      </c>
      <c r="AD219" s="7">
        <f t="shared" si="96"/>
        <v>0.36</v>
      </c>
      <c r="AE219" s="68">
        <f t="shared" si="91"/>
        <v>367000</v>
      </c>
      <c r="AF219" s="68">
        <f t="shared" si="92"/>
        <v>734</v>
      </c>
      <c r="AG219" s="49">
        <f t="shared" si="111"/>
        <v>4.5213414634146334</v>
      </c>
      <c r="AH219" s="45">
        <f t="shared" si="97"/>
        <v>0.53284520147339931</v>
      </c>
      <c r="AI219" s="45">
        <f t="shared" si="98"/>
        <v>1.086817130470471</v>
      </c>
      <c r="AJ219" s="68">
        <v>367</v>
      </c>
      <c r="AK219" s="21">
        <f t="shared" si="99"/>
        <v>2.5</v>
      </c>
      <c r="AL219" s="21">
        <f t="shared" si="93"/>
        <v>3.75</v>
      </c>
      <c r="AM219" s="68">
        <f t="shared" si="118"/>
        <v>370.75</v>
      </c>
      <c r="AN219" s="41">
        <f t="shared" si="100"/>
        <v>4.5213414634146343</v>
      </c>
      <c r="AO219" s="41">
        <f t="shared" si="101"/>
        <v>0.53284520147339942</v>
      </c>
      <c r="AP219" s="41">
        <f t="shared" si="102"/>
        <v>1.086817130470471</v>
      </c>
      <c r="AQ219" s="21">
        <f t="shared" si="103"/>
        <v>2.5875000000000004</v>
      </c>
      <c r="AR219" s="21">
        <f t="shared" si="104"/>
        <v>440.4</v>
      </c>
      <c r="AS219" s="21">
        <f t="shared" si="105"/>
        <v>442.98749999999995</v>
      </c>
      <c r="AT219" s="41">
        <f t="shared" si="106"/>
        <v>2.9142476522540006</v>
      </c>
    </row>
    <row r="220" spans="1:46" x14ac:dyDescent="0.25">
      <c r="B220" s="4" t="s">
        <v>250</v>
      </c>
      <c r="C220" s="8">
        <v>200</v>
      </c>
      <c r="D220" s="4">
        <v>500</v>
      </c>
      <c r="E220" s="8">
        <v>410</v>
      </c>
      <c r="F220" s="4">
        <v>3600</v>
      </c>
      <c r="G220" s="4">
        <v>3000</v>
      </c>
      <c r="H220" s="4">
        <v>200</v>
      </c>
      <c r="I220">
        <f t="shared" si="113"/>
        <v>200</v>
      </c>
      <c r="J220">
        <v>200</v>
      </c>
      <c r="K220">
        <f t="shared" si="114"/>
        <v>200</v>
      </c>
      <c r="L220">
        <v>1200</v>
      </c>
      <c r="M220">
        <f t="shared" si="87"/>
        <v>1000</v>
      </c>
      <c r="N220" s="4">
        <v>8</v>
      </c>
      <c r="O220" s="4">
        <v>20</v>
      </c>
      <c r="P220" s="21">
        <f t="shared" si="112"/>
        <v>2513.2741228718346</v>
      </c>
      <c r="Q220" s="29">
        <f t="shared" si="88"/>
        <v>3.0649684425266277E-2</v>
      </c>
      <c r="R220" s="21">
        <v>590</v>
      </c>
      <c r="S220" s="41">
        <f t="shared" si="116"/>
        <v>2.9268292682926829</v>
      </c>
      <c r="T220" s="41">
        <f t="shared" si="117"/>
        <v>2.4390243902439024</v>
      </c>
      <c r="U220" s="4">
        <v>18</v>
      </c>
      <c r="V220" s="4">
        <v>72</v>
      </c>
      <c r="W220" s="61" t="s">
        <v>459</v>
      </c>
      <c r="X220" s="7">
        <v>0.75</v>
      </c>
      <c r="Y220">
        <f>36/2</f>
        <v>18</v>
      </c>
      <c r="Z220" s="8">
        <v>1</v>
      </c>
      <c r="AA220">
        <f>(0.6+0.15)/2</f>
        <v>0.375</v>
      </c>
      <c r="AB220" s="21">
        <f t="shared" si="115"/>
        <v>48</v>
      </c>
      <c r="AC220">
        <f>(1100+2600)/2</f>
        <v>1850</v>
      </c>
      <c r="AD220" s="7">
        <f t="shared" si="96"/>
        <v>0.36</v>
      </c>
      <c r="AE220" s="68">
        <f t="shared" si="91"/>
        <v>327000</v>
      </c>
      <c r="AF220" s="68">
        <f t="shared" si="92"/>
        <v>654</v>
      </c>
      <c r="AG220" s="49">
        <f t="shared" si="111"/>
        <v>4.0335365853658534</v>
      </c>
      <c r="AH220" s="45">
        <f t="shared" si="97"/>
        <v>0.47535684527937111</v>
      </c>
      <c r="AI220" s="45">
        <f t="shared" si="98"/>
        <v>0.96956106784385243</v>
      </c>
      <c r="AJ220" s="68">
        <v>327</v>
      </c>
      <c r="AK220" s="21">
        <f t="shared" si="99"/>
        <v>2.5</v>
      </c>
      <c r="AL220" s="21">
        <f t="shared" si="93"/>
        <v>3.75</v>
      </c>
      <c r="AM220" s="68">
        <f t="shared" si="118"/>
        <v>330.75</v>
      </c>
      <c r="AN220" s="41">
        <f t="shared" si="100"/>
        <v>4.0335365853658534</v>
      </c>
      <c r="AO220" s="41">
        <f t="shared" si="101"/>
        <v>0.47535684527937111</v>
      </c>
      <c r="AP220" s="41">
        <f t="shared" si="102"/>
        <v>0.96956106784385243</v>
      </c>
      <c r="AQ220" s="21">
        <f t="shared" si="103"/>
        <v>2.5875000000000004</v>
      </c>
      <c r="AR220" s="21">
        <f t="shared" si="104"/>
        <v>392.4</v>
      </c>
      <c r="AS220" s="21">
        <f t="shared" si="105"/>
        <v>394.98749999999995</v>
      </c>
      <c r="AT220" s="41">
        <f t="shared" si="106"/>
        <v>2.9127260660361705</v>
      </c>
    </row>
    <row r="221" spans="1:46" x14ac:dyDescent="0.25">
      <c r="B221" s="4" t="s">
        <v>251</v>
      </c>
      <c r="C221" s="8">
        <v>200</v>
      </c>
      <c r="D221" s="4">
        <v>500</v>
      </c>
      <c r="E221" s="8">
        <v>410</v>
      </c>
      <c r="F221" s="4">
        <v>3600</v>
      </c>
      <c r="G221" s="4">
        <v>3000</v>
      </c>
      <c r="H221" s="4">
        <v>200</v>
      </c>
      <c r="I221">
        <f t="shared" si="113"/>
        <v>200</v>
      </c>
      <c r="J221">
        <v>200</v>
      </c>
      <c r="K221">
        <f t="shared" si="114"/>
        <v>200</v>
      </c>
      <c r="L221">
        <v>1200</v>
      </c>
      <c r="M221">
        <f t="shared" si="87"/>
        <v>1000</v>
      </c>
      <c r="N221" s="4">
        <v>8</v>
      </c>
      <c r="O221" s="4">
        <v>20</v>
      </c>
      <c r="P221" s="21">
        <f t="shared" si="112"/>
        <v>2513.2741228718346</v>
      </c>
      <c r="Q221" s="29">
        <f t="shared" si="88"/>
        <v>3.0649684425266277E-2</v>
      </c>
      <c r="R221" s="21">
        <v>590</v>
      </c>
      <c r="S221" s="41">
        <f t="shared" si="116"/>
        <v>2.9268292682926829</v>
      </c>
      <c r="T221" s="41">
        <f t="shared" si="117"/>
        <v>2.4390243902439024</v>
      </c>
      <c r="U221" s="4">
        <v>18</v>
      </c>
      <c r="V221" s="4">
        <v>69.3</v>
      </c>
      <c r="W221" s="61" t="s">
        <v>456</v>
      </c>
      <c r="X221" s="7">
        <f t="shared" si="95"/>
        <v>1</v>
      </c>
      <c r="Y221">
        <v>60</v>
      </c>
      <c r="Z221" s="8">
        <v>0.5</v>
      </c>
      <c r="AA221">
        <v>0.7</v>
      </c>
      <c r="AB221" s="21">
        <f t="shared" si="115"/>
        <v>85.714285714285722</v>
      </c>
      <c r="AC221">
        <v>2200</v>
      </c>
      <c r="AD221" s="7">
        <f t="shared" si="96"/>
        <v>0.4285714285714286</v>
      </c>
      <c r="AE221" s="68">
        <f t="shared" si="91"/>
        <v>264000</v>
      </c>
      <c r="AF221" s="68">
        <f t="shared" si="92"/>
        <v>528</v>
      </c>
      <c r="AG221" s="49">
        <f t="shared" si="111"/>
        <v>3.2652439024390243</v>
      </c>
      <c r="AH221" s="45">
        <f t="shared" si="97"/>
        <v>0.392237407539408</v>
      </c>
      <c r="AI221" s="45">
        <f t="shared" si="98"/>
        <v>0.79494646464188734</v>
      </c>
      <c r="AJ221" s="68">
        <v>264</v>
      </c>
      <c r="AK221" s="21">
        <f t="shared" si="99"/>
        <v>2.5</v>
      </c>
      <c r="AL221" s="21">
        <f t="shared" si="93"/>
        <v>3.75</v>
      </c>
      <c r="AM221" s="68">
        <f t="shared" si="118"/>
        <v>267.75</v>
      </c>
      <c r="AN221" s="41">
        <f t="shared" si="100"/>
        <v>3.2652439024390243</v>
      </c>
      <c r="AO221" s="41">
        <f t="shared" si="101"/>
        <v>0.392237407539408</v>
      </c>
      <c r="AP221" s="41">
        <f t="shared" si="102"/>
        <v>0.79494646464188734</v>
      </c>
      <c r="AQ221" s="21">
        <f t="shared" si="103"/>
        <v>2.5875000000000004</v>
      </c>
      <c r="AR221" s="21">
        <f t="shared" si="104"/>
        <v>316.8</v>
      </c>
      <c r="AS221" s="21">
        <f t="shared" si="105"/>
        <v>319.38749999999999</v>
      </c>
      <c r="AT221" s="41">
        <f t="shared" si="106"/>
        <v>2.9094076655052263</v>
      </c>
    </row>
    <row r="222" spans="1:46" x14ac:dyDescent="0.25">
      <c r="B222" s="4" t="s">
        <v>251</v>
      </c>
      <c r="C222" s="8">
        <v>200</v>
      </c>
      <c r="D222" s="4">
        <v>500</v>
      </c>
      <c r="E222" s="8">
        <v>410</v>
      </c>
      <c r="F222" s="4">
        <v>3600</v>
      </c>
      <c r="G222" s="4">
        <v>3000</v>
      </c>
      <c r="H222" s="4">
        <v>200</v>
      </c>
      <c r="I222">
        <f t="shared" si="113"/>
        <v>200</v>
      </c>
      <c r="J222">
        <v>200</v>
      </c>
      <c r="K222">
        <f t="shared" si="114"/>
        <v>200</v>
      </c>
      <c r="L222">
        <v>1200</v>
      </c>
      <c r="M222">
        <f t="shared" si="87"/>
        <v>1000</v>
      </c>
      <c r="N222" s="4">
        <v>8</v>
      </c>
      <c r="O222" s="4">
        <v>20</v>
      </c>
      <c r="P222" s="21">
        <f t="shared" si="112"/>
        <v>2513.2741228718346</v>
      </c>
      <c r="Q222" s="29">
        <f t="shared" si="88"/>
        <v>3.0649684425266277E-2</v>
      </c>
      <c r="R222" s="21">
        <v>590</v>
      </c>
      <c r="S222" s="41">
        <f t="shared" si="116"/>
        <v>2.9268292682926829</v>
      </c>
      <c r="T222" s="41">
        <f t="shared" si="117"/>
        <v>2.4390243902439024</v>
      </c>
      <c r="U222" s="4">
        <v>18</v>
      </c>
      <c r="V222" s="4">
        <v>69.3</v>
      </c>
      <c r="W222" s="61" t="s">
        <v>456</v>
      </c>
      <c r="X222" s="7">
        <f t="shared" si="95"/>
        <v>1</v>
      </c>
      <c r="Y222">
        <v>60</v>
      </c>
      <c r="Z222" s="8">
        <v>0.5</v>
      </c>
      <c r="AA222">
        <v>0.7</v>
      </c>
      <c r="AB222" s="21">
        <f t="shared" si="115"/>
        <v>85.714285714285722</v>
      </c>
      <c r="AC222">
        <v>2200</v>
      </c>
      <c r="AD222" s="7">
        <f t="shared" si="96"/>
        <v>0.4285714285714286</v>
      </c>
      <c r="AE222" s="68">
        <f t="shared" si="91"/>
        <v>312000</v>
      </c>
      <c r="AF222" s="68">
        <f t="shared" si="92"/>
        <v>624</v>
      </c>
      <c r="AG222" s="49">
        <f t="shared" si="111"/>
        <v>3.850609756097561</v>
      </c>
      <c r="AH222" s="45">
        <f t="shared" si="97"/>
        <v>0.46255447779857362</v>
      </c>
      <c r="AI222" s="45">
        <f t="shared" si="98"/>
        <v>0.93745787567012484</v>
      </c>
      <c r="AJ222" s="68">
        <v>312</v>
      </c>
      <c r="AK222" s="21">
        <f t="shared" si="99"/>
        <v>2.5</v>
      </c>
      <c r="AL222" s="21">
        <f t="shared" si="93"/>
        <v>3.75</v>
      </c>
      <c r="AM222" s="68">
        <f t="shared" si="118"/>
        <v>315.75</v>
      </c>
      <c r="AN222" s="41">
        <f t="shared" si="100"/>
        <v>3.850609756097561</v>
      </c>
      <c r="AO222" s="41">
        <f t="shared" si="101"/>
        <v>0.46255447779857362</v>
      </c>
      <c r="AP222" s="41">
        <f t="shared" si="102"/>
        <v>0.93745787567012484</v>
      </c>
      <c r="AQ222" s="21">
        <f t="shared" si="103"/>
        <v>2.5875000000000004</v>
      </c>
      <c r="AR222" s="21">
        <f t="shared" si="104"/>
        <v>374.4</v>
      </c>
      <c r="AS222" s="21">
        <f t="shared" si="105"/>
        <v>376.98749999999995</v>
      </c>
      <c r="AT222" s="41">
        <f t="shared" si="106"/>
        <v>2.9120560801807538</v>
      </c>
    </row>
    <row r="223" spans="1:46" x14ac:dyDescent="0.25">
      <c r="B223" s="4" t="s">
        <v>252</v>
      </c>
      <c r="C223" s="8">
        <v>200</v>
      </c>
      <c r="D223" s="4">
        <v>500</v>
      </c>
      <c r="E223" s="8">
        <v>410</v>
      </c>
      <c r="F223" s="4">
        <v>3600</v>
      </c>
      <c r="G223" s="4">
        <v>3000</v>
      </c>
      <c r="H223" s="4">
        <v>200</v>
      </c>
      <c r="I223">
        <f t="shared" si="113"/>
        <v>200</v>
      </c>
      <c r="J223">
        <v>200</v>
      </c>
      <c r="K223">
        <f t="shared" si="114"/>
        <v>200</v>
      </c>
      <c r="L223">
        <v>1200</v>
      </c>
      <c r="M223">
        <f t="shared" si="87"/>
        <v>1000</v>
      </c>
      <c r="N223" s="4">
        <v>8</v>
      </c>
      <c r="O223" s="4">
        <v>20</v>
      </c>
      <c r="P223" s="21">
        <f t="shared" si="112"/>
        <v>2513.2741228718346</v>
      </c>
      <c r="Q223" s="29">
        <f t="shared" si="88"/>
        <v>3.0649684425266277E-2</v>
      </c>
      <c r="R223" s="21">
        <v>590</v>
      </c>
      <c r="S223" s="41">
        <f t="shared" si="116"/>
        <v>2.9268292682926829</v>
      </c>
      <c r="T223" s="41">
        <f t="shared" si="117"/>
        <v>2.4390243902439024</v>
      </c>
      <c r="U223" s="4">
        <v>18</v>
      </c>
      <c r="V223" s="4">
        <v>60.2</v>
      </c>
      <c r="W223" s="61" t="s">
        <v>456</v>
      </c>
      <c r="X223" s="7">
        <f t="shared" si="95"/>
        <v>1</v>
      </c>
      <c r="Y223">
        <v>60</v>
      </c>
      <c r="Z223" s="8">
        <v>0.75</v>
      </c>
      <c r="AA223">
        <v>0.7</v>
      </c>
      <c r="AB223" s="21">
        <f t="shared" si="115"/>
        <v>85.714285714285722</v>
      </c>
      <c r="AC223">
        <v>2200</v>
      </c>
      <c r="AD223" s="7">
        <f t="shared" si="96"/>
        <v>0.6428571428571429</v>
      </c>
      <c r="AE223" s="68">
        <f t="shared" si="91"/>
        <v>339000</v>
      </c>
      <c r="AF223" s="68">
        <f t="shared" si="92"/>
        <v>678</v>
      </c>
      <c r="AG223" s="49">
        <f t="shared" si="111"/>
        <v>4.1798780487804876</v>
      </c>
      <c r="AH223" s="45">
        <f t="shared" si="97"/>
        <v>0.53872281136622435</v>
      </c>
      <c r="AI223" s="45">
        <f t="shared" si="98"/>
        <v>1.0665096285590157</v>
      </c>
      <c r="AJ223" s="68">
        <v>339</v>
      </c>
      <c r="AK223" s="21">
        <f t="shared" si="99"/>
        <v>2.5</v>
      </c>
      <c r="AL223" s="21">
        <f t="shared" si="93"/>
        <v>3.75</v>
      </c>
      <c r="AM223" s="68">
        <f t="shared" si="118"/>
        <v>342.75</v>
      </c>
      <c r="AN223" s="41">
        <f t="shared" si="100"/>
        <v>4.1798780487804876</v>
      </c>
      <c r="AO223" s="41">
        <f t="shared" si="101"/>
        <v>0.53872281136622435</v>
      </c>
      <c r="AP223" s="41">
        <f t="shared" si="102"/>
        <v>1.0665096285590157</v>
      </c>
      <c r="AQ223" s="21">
        <f t="shared" si="103"/>
        <v>2.5875000000000004</v>
      </c>
      <c r="AR223" s="21">
        <f t="shared" si="104"/>
        <v>406.8</v>
      </c>
      <c r="AS223" s="21">
        <f t="shared" si="105"/>
        <v>409.38749999999999</v>
      </c>
      <c r="AT223" s="41">
        <f t="shared" si="106"/>
        <v>2.9132198324171426</v>
      </c>
    </row>
    <row r="224" spans="1:46" x14ac:dyDescent="0.25">
      <c r="B224" s="4" t="s">
        <v>253</v>
      </c>
      <c r="C224" s="8">
        <v>200</v>
      </c>
      <c r="D224" s="4">
        <v>500</v>
      </c>
      <c r="E224" s="8">
        <v>410</v>
      </c>
      <c r="F224" s="4">
        <v>3600</v>
      </c>
      <c r="G224" s="4">
        <v>3000</v>
      </c>
      <c r="H224" s="4">
        <v>200</v>
      </c>
      <c r="I224">
        <f t="shared" si="113"/>
        <v>200</v>
      </c>
      <c r="J224">
        <v>200</v>
      </c>
      <c r="K224">
        <f t="shared" si="114"/>
        <v>200</v>
      </c>
      <c r="L224">
        <v>1200</v>
      </c>
      <c r="M224">
        <f t="shared" si="87"/>
        <v>1000</v>
      </c>
      <c r="N224" s="4">
        <v>8</v>
      </c>
      <c r="O224" s="4">
        <v>20</v>
      </c>
      <c r="P224" s="21">
        <f t="shared" si="112"/>
        <v>2513.2741228718346</v>
      </c>
      <c r="Q224" s="29">
        <f t="shared" si="88"/>
        <v>3.0649684425266277E-2</v>
      </c>
      <c r="R224" s="21">
        <v>590</v>
      </c>
      <c r="S224" s="41">
        <f t="shared" si="116"/>
        <v>2.9268292682926829</v>
      </c>
      <c r="T224" s="41">
        <f t="shared" si="117"/>
        <v>2.4390243902439024</v>
      </c>
      <c r="U224" s="4">
        <v>18</v>
      </c>
      <c r="V224" s="4">
        <v>75.7</v>
      </c>
      <c r="W224" s="61" t="s">
        <v>456</v>
      </c>
      <c r="X224" s="7">
        <f t="shared" si="95"/>
        <v>1</v>
      </c>
      <c r="Y224">
        <v>60</v>
      </c>
      <c r="Z224" s="8">
        <v>0.75</v>
      </c>
      <c r="AA224">
        <v>0.7</v>
      </c>
      <c r="AB224" s="21">
        <f t="shared" si="115"/>
        <v>85.714285714285722</v>
      </c>
      <c r="AC224">
        <v>2200</v>
      </c>
      <c r="AD224" s="7">
        <f t="shared" si="96"/>
        <v>0.6428571428571429</v>
      </c>
      <c r="AE224" s="68">
        <f t="shared" si="91"/>
        <v>292000</v>
      </c>
      <c r="AF224" s="68">
        <f t="shared" si="92"/>
        <v>584</v>
      </c>
      <c r="AG224" s="49">
        <f t="shared" si="111"/>
        <v>3.6067073170731709</v>
      </c>
      <c r="AH224" s="45">
        <f t="shared" si="97"/>
        <v>0.4145366764910719</v>
      </c>
      <c r="AI224" s="45">
        <f t="shared" si="98"/>
        <v>0.8526005485892787</v>
      </c>
      <c r="AJ224" s="68">
        <v>292</v>
      </c>
      <c r="AK224" s="21">
        <f t="shared" si="99"/>
        <v>2.5</v>
      </c>
      <c r="AL224" s="21">
        <f t="shared" si="93"/>
        <v>3.75</v>
      </c>
      <c r="AM224" s="68">
        <f t="shared" si="118"/>
        <v>295.75</v>
      </c>
      <c r="AN224" s="41">
        <f t="shared" si="100"/>
        <v>3.6067073170731709</v>
      </c>
      <c r="AO224" s="41">
        <f t="shared" si="101"/>
        <v>0.4145366764910719</v>
      </c>
      <c r="AP224" s="41">
        <f t="shared" si="102"/>
        <v>0.8526005485892787</v>
      </c>
      <c r="AQ224" s="21">
        <f t="shared" si="103"/>
        <v>2.5875000000000004</v>
      </c>
      <c r="AR224" s="21">
        <f t="shared" si="104"/>
        <v>350.4</v>
      </c>
      <c r="AS224" s="21">
        <f t="shared" si="105"/>
        <v>352.98749999999995</v>
      </c>
      <c r="AT224" s="41">
        <f t="shared" si="106"/>
        <v>2.9110570480176481</v>
      </c>
    </row>
    <row r="225" spans="1:60" x14ac:dyDescent="0.25">
      <c r="B225" s="4" t="s">
        <v>249</v>
      </c>
      <c r="C225" s="8">
        <v>300</v>
      </c>
      <c r="D225" s="4">
        <v>700</v>
      </c>
      <c r="E225" s="8">
        <v>570</v>
      </c>
      <c r="F225" s="4">
        <v>6000</v>
      </c>
      <c r="G225" s="4">
        <v>5000</v>
      </c>
      <c r="H225" s="4">
        <v>200</v>
      </c>
      <c r="I225">
        <f t="shared" si="113"/>
        <v>300</v>
      </c>
      <c r="J225">
        <v>200</v>
      </c>
      <c r="K225">
        <f t="shared" si="114"/>
        <v>300</v>
      </c>
      <c r="L225">
        <v>1700</v>
      </c>
      <c r="M225">
        <f t="shared" si="87"/>
        <v>1500</v>
      </c>
      <c r="N225" s="4">
        <v>10</v>
      </c>
      <c r="O225" s="4">
        <v>25</v>
      </c>
      <c r="P225" s="21">
        <f t="shared" si="112"/>
        <v>4908.7385212340514</v>
      </c>
      <c r="Q225" s="29">
        <f t="shared" si="88"/>
        <v>2.8706073223590943E-2</v>
      </c>
      <c r="R225" s="21">
        <v>590</v>
      </c>
      <c r="S225" s="41">
        <f t="shared" si="116"/>
        <v>2.9824561403508771</v>
      </c>
      <c r="T225" s="41">
        <f t="shared" si="117"/>
        <v>2.6315789473684212</v>
      </c>
      <c r="U225" s="4">
        <v>18</v>
      </c>
      <c r="V225" s="4">
        <v>76.8</v>
      </c>
      <c r="W225" s="61" t="s">
        <v>458</v>
      </c>
      <c r="X225" s="7">
        <v>0.5</v>
      </c>
      <c r="Y225" s="4">
        <v>6</v>
      </c>
      <c r="Z225" s="8">
        <v>1</v>
      </c>
      <c r="AA225" s="8">
        <v>0.15</v>
      </c>
      <c r="AB225" s="21">
        <f t="shared" si="115"/>
        <v>40</v>
      </c>
      <c r="AC225" s="8">
        <v>2600</v>
      </c>
      <c r="AD225" s="7">
        <f t="shared" si="96"/>
        <v>0.2</v>
      </c>
      <c r="AE225" s="68">
        <f t="shared" si="91"/>
        <v>445000</v>
      </c>
      <c r="AF225" s="68">
        <f t="shared" si="92"/>
        <v>890</v>
      </c>
      <c r="AG225" s="49">
        <f t="shared" si="111"/>
        <v>2.6790935672514617</v>
      </c>
      <c r="AH225" s="45">
        <f t="shared" si="97"/>
        <v>0.30570832926054364</v>
      </c>
      <c r="AI225" s="45">
        <f t="shared" si="98"/>
        <v>0.63028089288175615</v>
      </c>
      <c r="AJ225" s="68">
        <v>445</v>
      </c>
      <c r="AK225" s="21">
        <f t="shared" si="99"/>
        <v>5.25</v>
      </c>
      <c r="AL225" s="21">
        <f t="shared" si="93"/>
        <v>13.125</v>
      </c>
      <c r="AM225" s="68">
        <f t="shared" si="118"/>
        <v>458.125</v>
      </c>
      <c r="AN225" s="41">
        <f t="shared" si="100"/>
        <v>2.6790935672514622</v>
      </c>
      <c r="AO225" s="41">
        <f t="shared" si="101"/>
        <v>0.3057083292605437</v>
      </c>
      <c r="AP225" s="41">
        <f t="shared" si="102"/>
        <v>0.63028089288175626</v>
      </c>
      <c r="AQ225" s="21">
        <f t="shared" si="103"/>
        <v>14.069999999999997</v>
      </c>
      <c r="AR225" s="21">
        <f t="shared" si="104"/>
        <v>756.5</v>
      </c>
      <c r="AS225" s="21">
        <f t="shared" si="105"/>
        <v>770.57</v>
      </c>
      <c r="AT225" s="41">
        <f t="shared" si="106"/>
        <v>2.9508915535769846</v>
      </c>
    </row>
    <row r="226" spans="1:60" x14ac:dyDescent="0.25">
      <c r="B226" s="4" t="s">
        <v>254</v>
      </c>
      <c r="C226" s="8">
        <v>300</v>
      </c>
      <c r="D226" s="4">
        <v>700</v>
      </c>
      <c r="E226" s="8">
        <v>570</v>
      </c>
      <c r="F226" s="4">
        <v>6000</v>
      </c>
      <c r="G226" s="4">
        <v>5000</v>
      </c>
      <c r="H226" s="4">
        <v>200</v>
      </c>
      <c r="I226">
        <f t="shared" si="113"/>
        <v>300</v>
      </c>
      <c r="J226">
        <v>200</v>
      </c>
      <c r="K226">
        <f t="shared" si="114"/>
        <v>300</v>
      </c>
      <c r="L226">
        <v>1700</v>
      </c>
      <c r="M226">
        <f t="shared" ref="M226:M291" si="119">L226-J226/2-H226/2</f>
        <v>1500</v>
      </c>
      <c r="N226" s="4">
        <v>10</v>
      </c>
      <c r="O226" s="4">
        <v>25</v>
      </c>
      <c r="P226" s="21">
        <f t="shared" si="112"/>
        <v>4908.7385212340514</v>
      </c>
      <c r="Q226" s="29">
        <f t="shared" si="88"/>
        <v>2.8706073223590943E-2</v>
      </c>
      <c r="R226" s="21">
        <v>590</v>
      </c>
      <c r="S226" s="41">
        <f t="shared" si="116"/>
        <v>2.9824561403508771</v>
      </c>
      <c r="T226" s="41">
        <f t="shared" si="117"/>
        <v>2.6315789473684212</v>
      </c>
      <c r="U226" s="4">
        <v>18</v>
      </c>
      <c r="V226" s="4">
        <v>72</v>
      </c>
      <c r="W226" s="61" t="s">
        <v>459</v>
      </c>
      <c r="X226" s="7">
        <v>0.75</v>
      </c>
      <c r="Y226">
        <f>36/2</f>
        <v>18</v>
      </c>
      <c r="Z226" s="8">
        <v>1</v>
      </c>
      <c r="AA226">
        <f>(0.6+0.15)/2</f>
        <v>0.375</v>
      </c>
      <c r="AB226" s="21">
        <f t="shared" si="115"/>
        <v>48</v>
      </c>
      <c r="AC226">
        <v>1850</v>
      </c>
      <c r="AD226" s="7">
        <f t="shared" si="96"/>
        <v>0.36</v>
      </c>
      <c r="AE226" s="68">
        <f t="shared" si="91"/>
        <v>596000</v>
      </c>
      <c r="AF226" s="68">
        <f t="shared" si="92"/>
        <v>1192</v>
      </c>
      <c r="AG226" s="49">
        <f t="shared" si="111"/>
        <v>3.5621345029239766</v>
      </c>
      <c r="AH226" s="45">
        <f t="shared" si="97"/>
        <v>0.41980157708601928</v>
      </c>
      <c r="AI226" s="45">
        <f t="shared" si="98"/>
        <v>0.85624782603655003</v>
      </c>
      <c r="AJ226" s="68">
        <v>596</v>
      </c>
      <c r="AK226" s="21">
        <f t="shared" si="99"/>
        <v>5.25</v>
      </c>
      <c r="AL226" s="21">
        <f t="shared" si="93"/>
        <v>13.125</v>
      </c>
      <c r="AM226" s="68">
        <f t="shared" si="118"/>
        <v>609.125</v>
      </c>
      <c r="AN226" s="41">
        <f t="shared" si="100"/>
        <v>3.5621345029239766</v>
      </c>
      <c r="AO226" s="41">
        <f t="shared" si="101"/>
        <v>0.41980157708601928</v>
      </c>
      <c r="AP226" s="41">
        <f t="shared" si="102"/>
        <v>0.85624782603655003</v>
      </c>
      <c r="AQ226" s="21">
        <f t="shared" si="103"/>
        <v>14.069999999999997</v>
      </c>
      <c r="AR226" s="21">
        <f t="shared" si="104"/>
        <v>1013.2</v>
      </c>
      <c r="AS226" s="21">
        <f t="shared" si="105"/>
        <v>1027.27</v>
      </c>
      <c r="AT226" s="41">
        <f t="shared" si="106"/>
        <v>2.9587163064649102</v>
      </c>
    </row>
    <row r="227" spans="1:60" x14ac:dyDescent="0.25">
      <c r="A227" s="1"/>
      <c r="B227" s="10" t="s">
        <v>252</v>
      </c>
      <c r="C227" s="9">
        <v>300</v>
      </c>
      <c r="D227" s="10">
        <v>700</v>
      </c>
      <c r="E227" s="9">
        <v>570</v>
      </c>
      <c r="F227" s="10">
        <v>6000</v>
      </c>
      <c r="G227" s="10">
        <v>5000</v>
      </c>
      <c r="H227" s="10">
        <v>200</v>
      </c>
      <c r="I227" s="1">
        <f t="shared" si="113"/>
        <v>300</v>
      </c>
      <c r="J227" s="1">
        <v>200</v>
      </c>
      <c r="K227" s="1">
        <f t="shared" si="114"/>
        <v>300</v>
      </c>
      <c r="L227" s="1">
        <v>1700</v>
      </c>
      <c r="M227" s="1">
        <f t="shared" si="119"/>
        <v>1500</v>
      </c>
      <c r="N227" s="10">
        <v>10</v>
      </c>
      <c r="O227" s="10">
        <v>25</v>
      </c>
      <c r="P227" s="27">
        <f t="shared" si="112"/>
        <v>4908.7385212340514</v>
      </c>
      <c r="Q227" s="36">
        <f t="shared" si="88"/>
        <v>2.8706073223590943E-2</v>
      </c>
      <c r="R227" s="27">
        <v>590</v>
      </c>
      <c r="S227" s="48">
        <f t="shared" si="116"/>
        <v>2.9824561403508771</v>
      </c>
      <c r="T227" s="48">
        <f t="shared" si="117"/>
        <v>2.6315789473684212</v>
      </c>
      <c r="U227" s="10">
        <v>18</v>
      </c>
      <c r="V227" s="10">
        <v>60.2</v>
      </c>
      <c r="W227" s="62" t="s">
        <v>456</v>
      </c>
      <c r="X227" s="7">
        <f t="shared" si="95"/>
        <v>1</v>
      </c>
      <c r="Y227" s="1">
        <v>60</v>
      </c>
      <c r="Z227" s="9">
        <v>0.75</v>
      </c>
      <c r="AA227" s="1">
        <v>0.7</v>
      </c>
      <c r="AB227" s="27">
        <f t="shared" si="115"/>
        <v>85.714285714285722</v>
      </c>
      <c r="AC227" s="1">
        <v>2200</v>
      </c>
      <c r="AD227" s="7">
        <f t="shared" si="96"/>
        <v>0.6428571428571429</v>
      </c>
      <c r="AE227" s="69">
        <f t="shared" si="91"/>
        <v>509000</v>
      </c>
      <c r="AF227" s="69">
        <f t="shared" si="92"/>
        <v>1018</v>
      </c>
      <c r="AG227" s="50">
        <f t="shared" si="111"/>
        <v>3.0533625730994149</v>
      </c>
      <c r="AH227" s="45">
        <f t="shared" si="97"/>
        <v>0.3935320720613949</v>
      </c>
      <c r="AI227" s="45">
        <f t="shared" si="98"/>
        <v>0.77907550069369835</v>
      </c>
      <c r="AJ227" s="69">
        <v>509</v>
      </c>
      <c r="AK227" s="21">
        <f t="shared" si="99"/>
        <v>5.25</v>
      </c>
      <c r="AL227" s="27">
        <f t="shared" si="93"/>
        <v>13.125</v>
      </c>
      <c r="AM227" s="69">
        <f t="shared" si="118"/>
        <v>522.125</v>
      </c>
      <c r="AN227" s="41">
        <f t="shared" si="100"/>
        <v>3.0533625730994154</v>
      </c>
      <c r="AO227" s="41">
        <f t="shared" si="101"/>
        <v>0.39353207206139496</v>
      </c>
      <c r="AP227" s="41">
        <f t="shared" si="102"/>
        <v>0.77907550069369846</v>
      </c>
      <c r="AQ227" s="21">
        <f t="shared" si="103"/>
        <v>14.069999999999997</v>
      </c>
      <c r="AR227" s="21">
        <f t="shared" si="104"/>
        <v>865.3</v>
      </c>
      <c r="AS227" s="21">
        <f t="shared" si="105"/>
        <v>879.37</v>
      </c>
      <c r="AT227" s="41">
        <f t="shared" si="106"/>
        <v>2.954760614728106</v>
      </c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</row>
    <row r="228" spans="1:60" x14ac:dyDescent="0.25">
      <c r="A228" t="s">
        <v>26</v>
      </c>
      <c r="B228" s="4" t="s">
        <v>153</v>
      </c>
      <c r="C228" s="8">
        <v>200</v>
      </c>
      <c r="D228" s="4">
        <v>350</v>
      </c>
      <c r="E228" s="8">
        <v>314</v>
      </c>
      <c r="F228" s="4">
        <v>3500</v>
      </c>
      <c r="G228" s="8">
        <v>3000</v>
      </c>
      <c r="H228" s="4">
        <v>100</v>
      </c>
      <c r="I228" s="4">
        <f t="shared" si="113"/>
        <v>200</v>
      </c>
      <c r="J228" s="4">
        <v>100</v>
      </c>
      <c r="K228" s="4">
        <f t="shared" si="114"/>
        <v>200</v>
      </c>
      <c r="L228" s="4">
        <v>1100</v>
      </c>
      <c r="M228" s="4">
        <f t="shared" si="119"/>
        <v>1000</v>
      </c>
      <c r="N228" s="4">
        <v>7</v>
      </c>
      <c r="O228" s="4">
        <v>20</v>
      </c>
      <c r="P228" s="21">
        <f t="shared" si="112"/>
        <v>2199.114857512855</v>
      </c>
      <c r="Q228" s="29">
        <f t="shared" si="88"/>
        <v>3.501775250816648E-2</v>
      </c>
      <c r="R228" s="21">
        <v>900</v>
      </c>
      <c r="S228" s="49">
        <f t="shared" si="116"/>
        <v>3.5031847133757963</v>
      </c>
      <c r="T228" s="49">
        <f t="shared" si="117"/>
        <v>3.1847133757961785</v>
      </c>
      <c r="U228" s="4">
        <v>0.4</v>
      </c>
      <c r="V228" s="21">
        <f>0.82*160.4</f>
        <v>131.52799999999999</v>
      </c>
      <c r="W228" s="61" t="s">
        <v>458</v>
      </c>
      <c r="X228" s="7">
        <v>0.5</v>
      </c>
      <c r="Y228" s="4">
        <v>15</v>
      </c>
      <c r="Z228" s="8">
        <v>2</v>
      </c>
      <c r="AA228" s="4">
        <v>0.2</v>
      </c>
      <c r="AB228" s="68">
        <v>75</v>
      </c>
      <c r="AC228" s="4">
        <v>2000</v>
      </c>
      <c r="AD228" s="7">
        <f t="shared" si="96"/>
        <v>0.75</v>
      </c>
      <c r="AE228" s="68">
        <f t="shared" si="91"/>
        <v>251000</v>
      </c>
      <c r="AF228" s="68">
        <f t="shared" ref="AF228:AF233" si="120">AJ228/((G228-L228)/G228)</f>
        <v>396.31578947368422</v>
      </c>
      <c r="AG228" s="49">
        <f t="shared" si="111"/>
        <v>4.0386146496815281</v>
      </c>
      <c r="AH228" s="45">
        <f t="shared" si="97"/>
        <v>0.35214644474966889</v>
      </c>
      <c r="AI228" s="45">
        <f t="shared" si="98"/>
        <v>0.79413257479564403</v>
      </c>
      <c r="AJ228" s="68">
        <v>251</v>
      </c>
      <c r="AK228" s="21">
        <f t="shared" si="99"/>
        <v>1.75</v>
      </c>
      <c r="AL228" s="68">
        <f t="shared" si="93"/>
        <v>2.625</v>
      </c>
      <c r="AM228" s="68">
        <f t="shared" si="118"/>
        <v>253.625</v>
      </c>
      <c r="AN228" s="41">
        <f t="shared" si="100"/>
        <v>4.0386146496815289</v>
      </c>
      <c r="AO228" s="41">
        <f t="shared" si="101"/>
        <v>0.35214644474966894</v>
      </c>
      <c r="AP228" s="41">
        <f t="shared" si="102"/>
        <v>0.79413257479564425</v>
      </c>
      <c r="AQ228" s="21">
        <f t="shared" si="103"/>
        <v>1.7740624999999997</v>
      </c>
      <c r="AR228" s="21">
        <f t="shared" si="104"/>
        <v>276.10000000000002</v>
      </c>
      <c r="AS228" s="21">
        <f t="shared" si="105"/>
        <v>277.87406250000004</v>
      </c>
      <c r="AT228" s="41">
        <f t="shared" si="106"/>
        <v>3.489203523432522</v>
      </c>
      <c r="AU228" s="4"/>
    </row>
    <row r="229" spans="1:60" x14ac:dyDescent="0.25">
      <c r="A229">
        <v>2017</v>
      </c>
      <c r="B229" s="4" t="s">
        <v>157</v>
      </c>
      <c r="C229" s="8">
        <v>200</v>
      </c>
      <c r="D229" s="4">
        <v>350</v>
      </c>
      <c r="E229" s="8">
        <v>314</v>
      </c>
      <c r="F229" s="4">
        <v>3500</v>
      </c>
      <c r="G229" s="8">
        <v>3000</v>
      </c>
      <c r="H229" s="4">
        <v>100</v>
      </c>
      <c r="I229" s="4">
        <f t="shared" si="113"/>
        <v>200</v>
      </c>
      <c r="J229" s="4">
        <v>100</v>
      </c>
      <c r="K229" s="4">
        <f t="shared" si="114"/>
        <v>200</v>
      </c>
      <c r="L229" s="4">
        <v>1100</v>
      </c>
      <c r="M229" s="4">
        <f t="shared" si="119"/>
        <v>1000</v>
      </c>
      <c r="N229" s="4">
        <v>7</v>
      </c>
      <c r="O229" s="4">
        <v>20</v>
      </c>
      <c r="P229" s="21">
        <f t="shared" si="112"/>
        <v>2199.114857512855</v>
      </c>
      <c r="Q229" s="29">
        <f t="shared" ref="Q229:Q256" si="121">P229/(C229*E229)</f>
        <v>3.501775250816648E-2</v>
      </c>
      <c r="R229" s="21">
        <v>900</v>
      </c>
      <c r="S229" s="49">
        <f t="shared" si="116"/>
        <v>3.5031847133757963</v>
      </c>
      <c r="T229" s="49">
        <f t="shared" si="117"/>
        <v>3.1847133757961785</v>
      </c>
      <c r="U229" s="4">
        <v>0.4</v>
      </c>
      <c r="V229" s="21">
        <f>0.82*188.4</f>
        <v>154.488</v>
      </c>
      <c r="W229" s="61" t="s">
        <v>458</v>
      </c>
      <c r="X229" s="7">
        <v>0.5</v>
      </c>
      <c r="Y229" s="4">
        <v>15</v>
      </c>
      <c r="Z229" s="8">
        <v>2</v>
      </c>
      <c r="AA229" s="4">
        <v>0.2</v>
      </c>
      <c r="AB229" s="68">
        <v>75</v>
      </c>
      <c r="AC229" s="4">
        <v>2000</v>
      </c>
      <c r="AD229" s="7">
        <f t="shared" si="96"/>
        <v>0.75</v>
      </c>
      <c r="AE229" s="68">
        <f t="shared" si="91"/>
        <v>318000</v>
      </c>
      <c r="AF229" s="68">
        <f t="shared" si="120"/>
        <v>502.10526315789474</v>
      </c>
      <c r="AG229" s="49">
        <f t="shared" si="111"/>
        <v>5.1054936305732479</v>
      </c>
      <c r="AH229" s="45">
        <f t="shared" si="97"/>
        <v>0.41076209791839835</v>
      </c>
      <c r="AI229" s="45">
        <f t="shared" si="98"/>
        <v>0.95149422145402174</v>
      </c>
      <c r="AJ229" s="68">
        <v>318</v>
      </c>
      <c r="AK229" s="21">
        <f t="shared" si="99"/>
        <v>1.75</v>
      </c>
      <c r="AL229" s="68">
        <f t="shared" si="93"/>
        <v>2.625</v>
      </c>
      <c r="AM229" s="68">
        <f t="shared" si="118"/>
        <v>320.625</v>
      </c>
      <c r="AN229" s="41">
        <f t="shared" si="100"/>
        <v>5.1054936305732488</v>
      </c>
      <c r="AO229" s="41">
        <f t="shared" si="101"/>
        <v>0.41076209791839841</v>
      </c>
      <c r="AP229" s="41">
        <f t="shared" si="102"/>
        <v>0.95149422145402196</v>
      </c>
      <c r="AQ229" s="21">
        <f t="shared" si="103"/>
        <v>1.7740624999999997</v>
      </c>
      <c r="AR229" s="21">
        <f t="shared" si="104"/>
        <v>349.8</v>
      </c>
      <c r="AS229" s="21">
        <f t="shared" si="105"/>
        <v>351.57406250000003</v>
      </c>
      <c r="AT229" s="41">
        <f t="shared" si="106"/>
        <v>3.4921251288163795</v>
      </c>
      <c r="AU229" s="4"/>
    </row>
    <row r="230" spans="1:60" x14ac:dyDescent="0.25">
      <c r="B230" s="4" t="s">
        <v>162</v>
      </c>
      <c r="C230" s="8">
        <v>200</v>
      </c>
      <c r="D230" s="4">
        <v>350</v>
      </c>
      <c r="E230" s="8">
        <v>314</v>
      </c>
      <c r="F230" s="4">
        <v>3500</v>
      </c>
      <c r="G230" s="8">
        <v>3000</v>
      </c>
      <c r="H230" s="4">
        <v>100</v>
      </c>
      <c r="I230" s="4">
        <f t="shared" si="113"/>
        <v>200</v>
      </c>
      <c r="J230" s="4">
        <v>100</v>
      </c>
      <c r="K230" s="4">
        <f t="shared" si="114"/>
        <v>200</v>
      </c>
      <c r="L230" s="4">
        <v>1100</v>
      </c>
      <c r="M230" s="4">
        <f t="shared" si="119"/>
        <v>1000</v>
      </c>
      <c r="N230" s="4">
        <v>7</v>
      </c>
      <c r="O230" s="4">
        <v>20</v>
      </c>
      <c r="P230" s="21">
        <f t="shared" si="112"/>
        <v>2199.114857512855</v>
      </c>
      <c r="Q230" s="29">
        <f t="shared" si="121"/>
        <v>3.501775250816648E-2</v>
      </c>
      <c r="R230" s="21">
        <v>900</v>
      </c>
      <c r="S230" s="49">
        <f t="shared" si="116"/>
        <v>3.5031847133757963</v>
      </c>
      <c r="T230" s="49">
        <f t="shared" si="117"/>
        <v>3.1847133757961785</v>
      </c>
      <c r="U230" s="4">
        <v>0.4</v>
      </c>
      <c r="V230" s="21">
        <f>0.82*177.5</f>
        <v>145.54999999999998</v>
      </c>
      <c r="W230" s="61" t="s">
        <v>458</v>
      </c>
      <c r="X230" s="7">
        <v>0.5</v>
      </c>
      <c r="Y230" s="4">
        <v>15</v>
      </c>
      <c r="Z230" s="8">
        <v>2</v>
      </c>
      <c r="AA230" s="4">
        <v>0.2</v>
      </c>
      <c r="AB230" s="68">
        <v>75</v>
      </c>
      <c r="AC230" s="4">
        <v>2000</v>
      </c>
      <c r="AD230" s="7">
        <f t="shared" si="96"/>
        <v>0.75</v>
      </c>
      <c r="AE230" s="68">
        <f t="shared" si="91"/>
        <v>357000</v>
      </c>
      <c r="AF230" s="68">
        <f t="shared" si="120"/>
        <v>563.68421052631584</v>
      </c>
      <c r="AG230" s="49">
        <f t="shared" si="111"/>
        <v>5.7265127388535033</v>
      </c>
      <c r="AH230" s="45">
        <f t="shared" si="97"/>
        <v>0.47466162999592804</v>
      </c>
      <c r="AI230" s="45">
        <f t="shared" si="98"/>
        <v>1.0886446966371959</v>
      </c>
      <c r="AJ230" s="68">
        <v>357</v>
      </c>
      <c r="AK230" s="21">
        <f t="shared" si="99"/>
        <v>1.75</v>
      </c>
      <c r="AL230" s="68">
        <f t="shared" si="93"/>
        <v>2.625</v>
      </c>
      <c r="AM230" s="68">
        <f t="shared" si="118"/>
        <v>359.625</v>
      </c>
      <c r="AN230" s="41">
        <f t="shared" si="100"/>
        <v>5.7265127388535033</v>
      </c>
      <c r="AO230" s="41">
        <f t="shared" si="101"/>
        <v>0.47466162999592804</v>
      </c>
      <c r="AP230" s="41">
        <f t="shared" si="102"/>
        <v>1.0886446966371959</v>
      </c>
      <c r="AQ230" s="21">
        <f t="shared" si="103"/>
        <v>1.7740624999999997</v>
      </c>
      <c r="AR230" s="21">
        <f t="shared" si="104"/>
        <v>392.7</v>
      </c>
      <c r="AS230" s="21">
        <f t="shared" si="105"/>
        <v>394.4740625</v>
      </c>
      <c r="AT230" s="41">
        <f t="shared" si="106"/>
        <v>3.4933244998217798</v>
      </c>
      <c r="AU230" s="4"/>
    </row>
    <row r="231" spans="1:60" x14ac:dyDescent="0.25">
      <c r="B231" s="4" t="s">
        <v>154</v>
      </c>
      <c r="C231" s="8">
        <v>200</v>
      </c>
      <c r="D231" s="4">
        <v>350</v>
      </c>
      <c r="E231" s="8">
        <v>314</v>
      </c>
      <c r="F231" s="4">
        <v>3500</v>
      </c>
      <c r="G231" s="8">
        <v>3000</v>
      </c>
      <c r="H231" s="4">
        <v>100</v>
      </c>
      <c r="I231" s="4">
        <f t="shared" si="113"/>
        <v>200</v>
      </c>
      <c r="J231" s="4">
        <v>100</v>
      </c>
      <c r="K231" s="4">
        <f t="shared" si="114"/>
        <v>200</v>
      </c>
      <c r="L231" s="4">
        <v>1100</v>
      </c>
      <c r="M231" s="4">
        <f t="shared" si="119"/>
        <v>1000</v>
      </c>
      <c r="N231" s="4">
        <v>7</v>
      </c>
      <c r="O231" s="4">
        <v>20</v>
      </c>
      <c r="P231" s="21">
        <f t="shared" si="112"/>
        <v>2199.114857512855</v>
      </c>
      <c r="Q231" s="29">
        <f t="shared" si="121"/>
        <v>3.501775250816648E-2</v>
      </c>
      <c r="R231" s="21">
        <v>900</v>
      </c>
      <c r="S231" s="49">
        <f t="shared" si="116"/>
        <v>3.5031847133757963</v>
      </c>
      <c r="T231" s="49">
        <f t="shared" si="117"/>
        <v>3.1847133757961785</v>
      </c>
      <c r="U231" s="4">
        <v>0.4</v>
      </c>
      <c r="V231" s="21">
        <f>0.82*161.9</f>
        <v>132.75800000000001</v>
      </c>
      <c r="W231" s="61" t="s">
        <v>458</v>
      </c>
      <c r="X231" s="7">
        <v>0.5</v>
      </c>
      <c r="Y231" s="4">
        <v>15</v>
      </c>
      <c r="Z231" s="8">
        <v>1</v>
      </c>
      <c r="AA231" s="4">
        <v>0.2</v>
      </c>
      <c r="AB231" s="68">
        <v>75</v>
      </c>
      <c r="AC231" s="4">
        <v>2000</v>
      </c>
      <c r="AD231" s="7">
        <f t="shared" si="96"/>
        <v>0.375</v>
      </c>
      <c r="AE231" s="68">
        <f t="shared" si="91"/>
        <v>266000</v>
      </c>
      <c r="AF231" s="68">
        <f t="shared" si="120"/>
        <v>420</v>
      </c>
      <c r="AG231" s="49">
        <f t="shared" si="111"/>
        <v>4.2774681528662422</v>
      </c>
      <c r="AH231" s="45">
        <f t="shared" si="97"/>
        <v>0.3712414277040208</v>
      </c>
      <c r="AI231" s="45">
        <f t="shared" si="98"/>
        <v>0.83849385540016463</v>
      </c>
      <c r="AJ231" s="68">
        <v>266</v>
      </c>
      <c r="AK231" s="21">
        <f t="shared" si="99"/>
        <v>1.75</v>
      </c>
      <c r="AL231" s="68">
        <f t="shared" si="93"/>
        <v>2.625</v>
      </c>
      <c r="AM231" s="68">
        <f t="shared" si="118"/>
        <v>268.625</v>
      </c>
      <c r="AN231" s="41">
        <f t="shared" si="100"/>
        <v>4.2774681528662422</v>
      </c>
      <c r="AO231" s="41">
        <f t="shared" si="101"/>
        <v>0.3712414277040208</v>
      </c>
      <c r="AP231" s="41">
        <f t="shared" si="102"/>
        <v>0.83849385540016463</v>
      </c>
      <c r="AQ231" s="21">
        <f t="shared" si="103"/>
        <v>1.7740624999999997</v>
      </c>
      <c r="AR231" s="21">
        <f t="shared" si="104"/>
        <v>292.60000000000002</v>
      </c>
      <c r="AS231" s="21">
        <f t="shared" si="105"/>
        <v>294.37406250000004</v>
      </c>
      <c r="AT231" s="41">
        <f t="shared" si="106"/>
        <v>3.4899842320380099</v>
      </c>
      <c r="AU231" s="4"/>
    </row>
    <row r="232" spans="1:60" x14ac:dyDescent="0.25">
      <c r="B232" s="4" t="s">
        <v>156</v>
      </c>
      <c r="C232" s="8">
        <v>200</v>
      </c>
      <c r="D232" s="4">
        <v>350</v>
      </c>
      <c r="E232" s="8">
        <v>314</v>
      </c>
      <c r="F232" s="4">
        <v>3500</v>
      </c>
      <c r="G232" s="8">
        <v>3000</v>
      </c>
      <c r="H232" s="4">
        <v>100</v>
      </c>
      <c r="I232" s="4">
        <f t="shared" si="113"/>
        <v>200</v>
      </c>
      <c r="J232" s="4">
        <v>100</v>
      </c>
      <c r="K232" s="4">
        <f t="shared" si="114"/>
        <v>200</v>
      </c>
      <c r="L232" s="4">
        <v>1100</v>
      </c>
      <c r="M232" s="4">
        <f t="shared" si="119"/>
        <v>1000</v>
      </c>
      <c r="N232" s="4">
        <v>7</v>
      </c>
      <c r="O232" s="4">
        <v>20</v>
      </c>
      <c r="P232" s="21">
        <f t="shared" si="112"/>
        <v>2199.114857512855</v>
      </c>
      <c r="Q232" s="29">
        <f t="shared" si="121"/>
        <v>3.501775250816648E-2</v>
      </c>
      <c r="R232" s="21">
        <v>900</v>
      </c>
      <c r="S232" s="49">
        <f t="shared" si="116"/>
        <v>3.5031847133757963</v>
      </c>
      <c r="T232" s="49">
        <f t="shared" si="117"/>
        <v>3.1847133757961785</v>
      </c>
      <c r="U232" s="4">
        <v>0.4</v>
      </c>
      <c r="V232" s="21">
        <f>0.82*174.8</f>
        <v>143.33600000000001</v>
      </c>
      <c r="W232" s="61" t="s">
        <v>458</v>
      </c>
      <c r="X232" s="7">
        <v>0.5</v>
      </c>
      <c r="Y232" s="4">
        <v>15</v>
      </c>
      <c r="Z232" s="8">
        <v>1</v>
      </c>
      <c r="AA232" s="4">
        <v>0.2</v>
      </c>
      <c r="AB232" s="68">
        <v>75</v>
      </c>
      <c r="AC232" s="4">
        <v>2000</v>
      </c>
      <c r="AD232" s="7">
        <f t="shared" si="96"/>
        <v>0.375</v>
      </c>
      <c r="AE232" s="68">
        <f t="shared" si="91"/>
        <v>199000</v>
      </c>
      <c r="AF232" s="68">
        <f t="shared" si="120"/>
        <v>314.21052631578948</v>
      </c>
      <c r="AG232" s="49">
        <f t="shared" si="111"/>
        <v>3.2105891719745223</v>
      </c>
      <c r="AH232" s="45">
        <f t="shared" si="97"/>
        <v>0.26816808847407431</v>
      </c>
      <c r="AI232" s="45">
        <f t="shared" si="98"/>
        <v>0.61347891823423395</v>
      </c>
      <c r="AJ232" s="68">
        <v>199</v>
      </c>
      <c r="AK232" s="21">
        <f t="shared" si="99"/>
        <v>1.75</v>
      </c>
      <c r="AL232" s="68">
        <f t="shared" si="93"/>
        <v>2.625</v>
      </c>
      <c r="AM232" s="68">
        <f t="shared" si="118"/>
        <v>201.625</v>
      </c>
      <c r="AN232" s="41">
        <f t="shared" si="100"/>
        <v>3.2105891719745223</v>
      </c>
      <c r="AO232" s="41">
        <f t="shared" si="101"/>
        <v>0.26816808847407431</v>
      </c>
      <c r="AP232" s="41">
        <f t="shared" si="102"/>
        <v>0.61347891823423395</v>
      </c>
      <c r="AQ232" s="21">
        <f t="shared" si="103"/>
        <v>1.7740624999999997</v>
      </c>
      <c r="AR232" s="21">
        <f t="shared" si="104"/>
        <v>218.9</v>
      </c>
      <c r="AS232" s="21">
        <f t="shared" si="105"/>
        <v>220.67406250000002</v>
      </c>
      <c r="AT232" s="41">
        <f t="shared" si="106"/>
        <v>3.4855977112710819</v>
      </c>
      <c r="AU232" s="4"/>
    </row>
    <row r="233" spans="1:60" x14ac:dyDescent="0.25">
      <c r="A233" s="1"/>
      <c r="B233" s="10" t="s">
        <v>161</v>
      </c>
      <c r="C233" s="9">
        <v>200</v>
      </c>
      <c r="D233" s="10">
        <v>350</v>
      </c>
      <c r="E233" s="9">
        <v>314</v>
      </c>
      <c r="F233" s="10">
        <v>3500</v>
      </c>
      <c r="G233" s="9">
        <v>3000</v>
      </c>
      <c r="H233" s="10">
        <v>100</v>
      </c>
      <c r="I233" s="10">
        <f t="shared" si="113"/>
        <v>200</v>
      </c>
      <c r="J233" s="10">
        <v>100</v>
      </c>
      <c r="K233" s="10">
        <f t="shared" si="114"/>
        <v>200</v>
      </c>
      <c r="L233" s="10">
        <v>1100</v>
      </c>
      <c r="M233" s="10">
        <f t="shared" si="119"/>
        <v>1000</v>
      </c>
      <c r="N233" s="10">
        <v>7</v>
      </c>
      <c r="O233" s="10">
        <v>20</v>
      </c>
      <c r="P233" s="27">
        <f t="shared" si="112"/>
        <v>2199.114857512855</v>
      </c>
      <c r="Q233" s="36">
        <f t="shared" si="121"/>
        <v>3.501775250816648E-2</v>
      </c>
      <c r="R233" s="27">
        <v>900</v>
      </c>
      <c r="S233" s="50">
        <f t="shared" si="116"/>
        <v>3.5031847133757963</v>
      </c>
      <c r="T233" s="50">
        <f t="shared" si="117"/>
        <v>3.1847133757961785</v>
      </c>
      <c r="U233" s="10">
        <v>0.4</v>
      </c>
      <c r="V233" s="27">
        <f>0.82*186.5</f>
        <v>152.92999999999998</v>
      </c>
      <c r="W233" s="62" t="s">
        <v>458</v>
      </c>
      <c r="X233" s="7">
        <v>0.5</v>
      </c>
      <c r="Y233" s="10">
        <v>15</v>
      </c>
      <c r="Z233" s="9">
        <v>1</v>
      </c>
      <c r="AA233" s="10">
        <v>0.2</v>
      </c>
      <c r="AB233" s="69">
        <v>75</v>
      </c>
      <c r="AC233" s="10">
        <v>2000</v>
      </c>
      <c r="AD233" s="7">
        <f t="shared" si="96"/>
        <v>0.375</v>
      </c>
      <c r="AE233" s="69">
        <f t="shared" si="91"/>
        <v>308000</v>
      </c>
      <c r="AF233" s="69">
        <f t="shared" si="120"/>
        <v>486.31578947368422</v>
      </c>
      <c r="AG233" s="50">
        <f t="shared" si="111"/>
        <v>4.9462579617834397</v>
      </c>
      <c r="AH233" s="45">
        <f t="shared" si="97"/>
        <v>0.39997276295571454</v>
      </c>
      <c r="AI233" s="45">
        <f t="shared" si="98"/>
        <v>0.92493780946268078</v>
      </c>
      <c r="AJ233" s="69">
        <v>308</v>
      </c>
      <c r="AK233" s="21">
        <f t="shared" si="99"/>
        <v>1.75</v>
      </c>
      <c r="AL233" s="69">
        <f t="shared" si="93"/>
        <v>2.625</v>
      </c>
      <c r="AM233" s="69">
        <f t="shared" si="118"/>
        <v>310.625</v>
      </c>
      <c r="AN233" s="41">
        <f t="shared" si="100"/>
        <v>4.9462579617834397</v>
      </c>
      <c r="AO233" s="41">
        <f t="shared" si="101"/>
        <v>0.39997276295571454</v>
      </c>
      <c r="AP233" s="41">
        <f t="shared" si="102"/>
        <v>0.92493780946268078</v>
      </c>
      <c r="AQ233" s="21">
        <f t="shared" si="103"/>
        <v>1.7740624999999997</v>
      </c>
      <c r="AR233" s="21">
        <f t="shared" si="104"/>
        <v>338.8</v>
      </c>
      <c r="AS233" s="21">
        <f t="shared" si="105"/>
        <v>340.57406250000003</v>
      </c>
      <c r="AT233" s="41">
        <f t="shared" si="106"/>
        <v>3.4917690858526962</v>
      </c>
      <c r="AU233" s="10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</row>
    <row r="234" spans="1:60" x14ac:dyDescent="0.25">
      <c r="A234" t="s">
        <v>27</v>
      </c>
      <c r="B234" s="4" t="s">
        <v>255</v>
      </c>
      <c r="C234" s="8">
        <v>125</v>
      </c>
      <c r="D234" s="4">
        <v>250</v>
      </c>
      <c r="E234" s="8">
        <v>215</v>
      </c>
      <c r="F234">
        <f>G234+320</f>
        <v>1680</v>
      </c>
      <c r="G234" s="8">
        <v>1360</v>
      </c>
      <c r="H234" s="4">
        <v>10</v>
      </c>
      <c r="I234" s="4">
        <f t="shared" si="113"/>
        <v>125</v>
      </c>
      <c r="J234" s="4">
        <v>10</v>
      </c>
      <c r="K234" s="4">
        <f t="shared" si="114"/>
        <v>125</v>
      </c>
      <c r="L234">
        <f>(G234-500)/2</f>
        <v>430</v>
      </c>
      <c r="M234">
        <f t="shared" si="119"/>
        <v>420</v>
      </c>
      <c r="N234" s="4">
        <v>2</v>
      </c>
      <c r="O234" s="4">
        <v>8</v>
      </c>
      <c r="P234" s="21">
        <f t="shared" si="112"/>
        <v>100.53096491487338</v>
      </c>
      <c r="Q234" s="29">
        <f t="shared" si="121"/>
        <v>3.7406870665999399E-3</v>
      </c>
      <c r="R234" s="21">
        <v>500</v>
      </c>
      <c r="S234" s="41">
        <f t="shared" si="116"/>
        <v>2</v>
      </c>
      <c r="T234" s="41">
        <f t="shared" si="117"/>
        <v>1.9534883720930232</v>
      </c>
      <c r="U234" s="4">
        <v>10</v>
      </c>
      <c r="V234">
        <v>92</v>
      </c>
      <c r="W234" s="61" t="s">
        <v>456</v>
      </c>
      <c r="X234" s="7">
        <f t="shared" si="95"/>
        <v>1</v>
      </c>
      <c r="Y234" s="4">
        <v>60</v>
      </c>
      <c r="Z234" s="8">
        <v>1</v>
      </c>
      <c r="AA234" s="4">
        <v>0.8</v>
      </c>
      <c r="AB234" s="68">
        <v>75</v>
      </c>
      <c r="AC234" s="4">
        <v>260</v>
      </c>
      <c r="AD234" s="7">
        <f t="shared" si="96"/>
        <v>0.75</v>
      </c>
      <c r="AE234" s="21">
        <f t="shared" si="91"/>
        <v>45150</v>
      </c>
      <c r="AF234" s="68">
        <f>AJ234*2</f>
        <v>90.3</v>
      </c>
      <c r="AG234" s="41">
        <v>1.68</v>
      </c>
      <c r="AH234" s="45">
        <f t="shared" si="97"/>
        <v>0.1751521078079428</v>
      </c>
      <c r="AI234" s="45">
        <f t="shared" si="98"/>
        <v>0.37214598622574563</v>
      </c>
      <c r="AJ234" s="21">
        <f>AG234*C234*E234/1000</f>
        <v>45.15</v>
      </c>
      <c r="AK234" s="21">
        <f t="shared" si="99"/>
        <v>0.78125</v>
      </c>
      <c r="AL234" s="21">
        <f t="shared" si="93"/>
        <v>0.53125000000000011</v>
      </c>
      <c r="AM234" s="21">
        <f t="shared" si="118"/>
        <v>45.681249999999999</v>
      </c>
      <c r="AN234" s="41">
        <f t="shared" si="100"/>
        <v>1.6997674418604651</v>
      </c>
      <c r="AO234" s="41">
        <f t="shared" si="101"/>
        <v>0.17721300608641391</v>
      </c>
      <c r="AP234" s="41">
        <f t="shared" si="102"/>
        <v>0.37652478036046161</v>
      </c>
      <c r="AQ234" s="21">
        <f t="shared" si="103"/>
        <v>0.1462109375</v>
      </c>
      <c r="AR234" s="21">
        <f t="shared" si="104"/>
        <v>19.4145</v>
      </c>
      <c r="AS234" s="21">
        <f t="shared" si="105"/>
        <v>19.560710937500001</v>
      </c>
      <c r="AT234" s="41">
        <f t="shared" si="106"/>
        <v>1.9916278751586929</v>
      </c>
    </row>
    <row r="235" spans="1:60" x14ac:dyDescent="0.25">
      <c r="A235">
        <v>1992</v>
      </c>
      <c r="B235" s="4" t="s">
        <v>256</v>
      </c>
      <c r="C235" s="8">
        <v>125</v>
      </c>
      <c r="D235" s="4">
        <v>250</v>
      </c>
      <c r="E235" s="8">
        <v>215</v>
      </c>
      <c r="F235">
        <f t="shared" ref="F235:F251" si="122">G235+320</f>
        <v>2540</v>
      </c>
      <c r="G235" s="8">
        <v>2220</v>
      </c>
      <c r="H235" s="4">
        <v>10</v>
      </c>
      <c r="I235" s="4">
        <f t="shared" si="113"/>
        <v>125</v>
      </c>
      <c r="J235" s="4">
        <v>10</v>
      </c>
      <c r="K235" s="4">
        <f t="shared" si="114"/>
        <v>125</v>
      </c>
      <c r="L235">
        <f t="shared" ref="L235:L251" si="123">(G235-500)/2</f>
        <v>860</v>
      </c>
      <c r="M235">
        <f t="shared" si="119"/>
        <v>850</v>
      </c>
      <c r="N235" s="4">
        <v>2</v>
      </c>
      <c r="O235" s="4">
        <v>8</v>
      </c>
      <c r="P235" s="21">
        <f t="shared" si="112"/>
        <v>100.53096491487338</v>
      </c>
      <c r="Q235" s="29">
        <f t="shared" si="121"/>
        <v>3.7406870665999399E-3</v>
      </c>
      <c r="R235" s="21">
        <v>500</v>
      </c>
      <c r="S235" s="41">
        <f t="shared" si="116"/>
        <v>4</v>
      </c>
      <c r="T235" s="41">
        <f t="shared" si="117"/>
        <v>3.9534883720930232</v>
      </c>
      <c r="U235" s="4">
        <v>10</v>
      </c>
      <c r="V235">
        <v>92.6</v>
      </c>
      <c r="W235" s="61" t="s">
        <v>456</v>
      </c>
      <c r="X235" s="7">
        <f t="shared" si="95"/>
        <v>1</v>
      </c>
      <c r="Y235" s="4">
        <v>60</v>
      </c>
      <c r="Z235" s="8">
        <v>1</v>
      </c>
      <c r="AA235" s="4">
        <v>0.8</v>
      </c>
      <c r="AB235" s="68">
        <v>75</v>
      </c>
      <c r="AC235" s="4">
        <v>260</v>
      </c>
      <c r="AD235" s="7">
        <f t="shared" si="96"/>
        <v>0.75</v>
      </c>
      <c r="AE235" s="21">
        <f t="shared" si="91"/>
        <v>23999.375</v>
      </c>
      <c r="AF235" s="68">
        <f t="shared" ref="AF235:AF251" si="124">AJ235*2</f>
        <v>47.998750000000001</v>
      </c>
      <c r="AG235" s="41">
        <v>0.89300000000000002</v>
      </c>
      <c r="AH235" s="45">
        <f t="shared" si="97"/>
        <v>9.2799570360962688E-2</v>
      </c>
      <c r="AI235" s="45">
        <f t="shared" si="98"/>
        <v>0.19738514423366221</v>
      </c>
      <c r="AJ235" s="21">
        <f t="shared" ref="AJ235:AJ251" si="125">AG235*C235*E235/1000</f>
        <v>23.999375000000001</v>
      </c>
      <c r="AK235" s="21">
        <f t="shared" si="99"/>
        <v>0.78125</v>
      </c>
      <c r="AL235" s="21">
        <f t="shared" si="93"/>
        <v>0.86718750000000011</v>
      </c>
      <c r="AM235" s="21">
        <f t="shared" si="118"/>
        <v>24.866562500000001</v>
      </c>
      <c r="AN235" s="41">
        <f t="shared" si="100"/>
        <v>0.92526744186046517</v>
      </c>
      <c r="AO235" s="41">
        <f t="shared" si="101"/>
        <v>9.6152767159729216E-2</v>
      </c>
      <c r="AP235" s="41">
        <f t="shared" si="102"/>
        <v>0.20451741037664009</v>
      </c>
      <c r="AQ235" s="21">
        <f t="shared" si="103"/>
        <v>0.44687500000000002</v>
      </c>
      <c r="AR235" s="21">
        <f t="shared" si="104"/>
        <v>20.6394625</v>
      </c>
      <c r="AS235" s="21">
        <f t="shared" si="105"/>
        <v>21.086337499999999</v>
      </c>
      <c r="AT235" s="41">
        <f t="shared" si="106"/>
        <v>3.9440911212433569</v>
      </c>
    </row>
    <row r="236" spans="1:60" x14ac:dyDescent="0.25">
      <c r="B236" s="4" t="s">
        <v>257</v>
      </c>
      <c r="C236" s="8">
        <v>125</v>
      </c>
      <c r="D236" s="4">
        <v>250</v>
      </c>
      <c r="E236" s="8">
        <v>215</v>
      </c>
      <c r="F236">
        <f t="shared" si="122"/>
        <v>3400</v>
      </c>
      <c r="G236" s="8">
        <v>3080</v>
      </c>
      <c r="H236" s="4">
        <v>10</v>
      </c>
      <c r="I236" s="4">
        <f t="shared" si="113"/>
        <v>125</v>
      </c>
      <c r="J236" s="4">
        <v>10</v>
      </c>
      <c r="K236" s="4">
        <f t="shared" si="114"/>
        <v>125</v>
      </c>
      <c r="L236">
        <f t="shared" si="123"/>
        <v>1290</v>
      </c>
      <c r="M236">
        <f t="shared" si="119"/>
        <v>1280</v>
      </c>
      <c r="N236" s="4">
        <v>2</v>
      </c>
      <c r="O236" s="4">
        <v>8</v>
      </c>
      <c r="P236" s="21">
        <f t="shared" si="112"/>
        <v>100.53096491487338</v>
      </c>
      <c r="Q236" s="29">
        <f t="shared" si="121"/>
        <v>3.7406870665999399E-3</v>
      </c>
      <c r="R236" s="21">
        <v>500</v>
      </c>
      <c r="S236" s="41">
        <f t="shared" si="116"/>
        <v>6</v>
      </c>
      <c r="T236" s="41">
        <f t="shared" si="117"/>
        <v>5.9534883720930232</v>
      </c>
      <c r="U236" s="4">
        <v>10</v>
      </c>
      <c r="V236">
        <v>93.7</v>
      </c>
      <c r="W236" s="61" t="s">
        <v>456</v>
      </c>
      <c r="X236" s="7">
        <f t="shared" si="95"/>
        <v>1</v>
      </c>
      <c r="Y236" s="4">
        <v>60</v>
      </c>
      <c r="Z236" s="8">
        <v>1</v>
      </c>
      <c r="AA236" s="4">
        <v>0.8</v>
      </c>
      <c r="AB236" s="68">
        <v>75</v>
      </c>
      <c r="AC236" s="4">
        <v>260</v>
      </c>
      <c r="AD236" s="7">
        <f t="shared" si="96"/>
        <v>0.75</v>
      </c>
      <c r="AE236" s="21">
        <f t="shared" si="91"/>
        <v>15050</v>
      </c>
      <c r="AF236" s="68">
        <f t="shared" si="124"/>
        <v>30.1</v>
      </c>
      <c r="AG236" s="41">
        <v>0.56000000000000005</v>
      </c>
      <c r="AH236" s="45">
        <f t="shared" si="97"/>
        <v>5.7851980555686966E-2</v>
      </c>
      <c r="AI236" s="45">
        <f t="shared" si="98"/>
        <v>0.12329387343408239</v>
      </c>
      <c r="AJ236" s="21">
        <f t="shared" si="125"/>
        <v>15.05</v>
      </c>
      <c r="AK236" s="21">
        <f t="shared" si="99"/>
        <v>0.78125</v>
      </c>
      <c r="AL236" s="21">
        <f t="shared" si="93"/>
        <v>1.203125</v>
      </c>
      <c r="AM236" s="21">
        <f t="shared" si="118"/>
        <v>16.253125000000001</v>
      </c>
      <c r="AN236" s="41">
        <f t="shared" si="100"/>
        <v>0.60476744186046516</v>
      </c>
      <c r="AO236" s="41">
        <f t="shared" si="101"/>
        <v>6.2476775512900311E-2</v>
      </c>
      <c r="AP236" s="41">
        <f t="shared" si="102"/>
        <v>0.13315021506035352</v>
      </c>
      <c r="AQ236" s="21">
        <f t="shared" si="103"/>
        <v>0.89199218750000009</v>
      </c>
      <c r="AR236" s="21">
        <f t="shared" si="104"/>
        <v>19.4145</v>
      </c>
      <c r="AS236" s="21">
        <f t="shared" si="105"/>
        <v>20.306492187500002</v>
      </c>
      <c r="AT236" s="41">
        <f t="shared" si="106"/>
        <v>5.8111163774408325</v>
      </c>
    </row>
    <row r="237" spans="1:60" x14ac:dyDescent="0.25">
      <c r="B237" s="4" t="s">
        <v>258</v>
      </c>
      <c r="C237" s="8">
        <v>125</v>
      </c>
      <c r="D237" s="4">
        <v>250</v>
      </c>
      <c r="E237" s="8">
        <v>215</v>
      </c>
      <c r="F237">
        <f t="shared" si="122"/>
        <v>1250</v>
      </c>
      <c r="G237" s="8">
        <v>930</v>
      </c>
      <c r="H237" s="4">
        <v>10</v>
      </c>
      <c r="I237" s="4">
        <f t="shared" si="113"/>
        <v>125</v>
      </c>
      <c r="J237" s="4">
        <v>10</v>
      </c>
      <c r="K237" s="4">
        <f t="shared" si="114"/>
        <v>125</v>
      </c>
      <c r="L237">
        <f t="shared" si="123"/>
        <v>215</v>
      </c>
      <c r="M237">
        <f t="shared" si="119"/>
        <v>205</v>
      </c>
      <c r="N237" s="4">
        <v>2</v>
      </c>
      <c r="O237" s="4">
        <v>22</v>
      </c>
      <c r="P237" s="21">
        <f t="shared" si="112"/>
        <v>760.26542216872997</v>
      </c>
      <c r="Q237" s="29">
        <f t="shared" si="121"/>
        <v>2.8288945941162047E-2</v>
      </c>
      <c r="R237" s="21">
        <v>460</v>
      </c>
      <c r="S237" s="41">
        <f t="shared" si="116"/>
        <v>1</v>
      </c>
      <c r="T237" s="41">
        <f t="shared" si="117"/>
        <v>0.95348837209302328</v>
      </c>
      <c r="U237" s="4">
        <v>10</v>
      </c>
      <c r="V237">
        <v>99</v>
      </c>
      <c r="W237" s="61" t="s">
        <v>456</v>
      </c>
      <c r="X237" s="7">
        <f t="shared" si="95"/>
        <v>1</v>
      </c>
      <c r="Y237" s="4">
        <v>60</v>
      </c>
      <c r="Z237" s="8">
        <v>0.5</v>
      </c>
      <c r="AA237" s="4">
        <v>0.8</v>
      </c>
      <c r="AB237" s="68">
        <v>75</v>
      </c>
      <c r="AC237" s="4">
        <v>260</v>
      </c>
      <c r="AD237" s="7">
        <f t="shared" si="96"/>
        <v>0.375</v>
      </c>
      <c r="AE237" s="21">
        <f t="shared" si="91"/>
        <v>244293.75</v>
      </c>
      <c r="AF237" s="68">
        <f t="shared" si="124"/>
        <v>488.58749999999998</v>
      </c>
      <c r="AG237" s="41">
        <v>9.09</v>
      </c>
      <c r="AH237" s="45">
        <f t="shared" si="97"/>
        <v>0.91357937407062373</v>
      </c>
      <c r="AI237" s="45">
        <f t="shared" si="98"/>
        <v>1.9649529312615248</v>
      </c>
      <c r="AJ237" s="21">
        <f t="shared" si="125"/>
        <v>244.29374999999999</v>
      </c>
      <c r="AK237" s="21">
        <f t="shared" si="99"/>
        <v>0.78125</v>
      </c>
      <c r="AL237" s="21">
        <f t="shared" si="93"/>
        <v>0.36328125000000011</v>
      </c>
      <c r="AM237" s="21">
        <f t="shared" si="118"/>
        <v>244.65703124999999</v>
      </c>
      <c r="AN237" s="41">
        <f t="shared" si="100"/>
        <v>9.1035174418604647</v>
      </c>
      <c r="AO237" s="41">
        <f t="shared" si="101"/>
        <v>0.9149379280941573</v>
      </c>
      <c r="AP237" s="41">
        <f t="shared" si="102"/>
        <v>1.9678749485340086</v>
      </c>
      <c r="AQ237" s="21">
        <f t="shared" si="103"/>
        <v>5.0048828125E-2</v>
      </c>
      <c r="AR237" s="21">
        <f t="shared" si="104"/>
        <v>52.52315625</v>
      </c>
      <c r="AS237" s="21">
        <f t="shared" si="105"/>
        <v>52.573205078125</v>
      </c>
      <c r="AT237" s="41">
        <f t="shared" si="106"/>
        <v>0.99946661658469305</v>
      </c>
    </row>
    <row r="238" spans="1:60" x14ac:dyDescent="0.25">
      <c r="B238" s="4" t="s">
        <v>259</v>
      </c>
      <c r="C238" s="8">
        <v>125</v>
      </c>
      <c r="D238" s="4">
        <v>250</v>
      </c>
      <c r="E238" s="8">
        <v>215</v>
      </c>
      <c r="F238">
        <f t="shared" si="122"/>
        <v>1680</v>
      </c>
      <c r="G238" s="8">
        <v>1360</v>
      </c>
      <c r="H238" s="4">
        <v>10</v>
      </c>
      <c r="I238" s="4">
        <f t="shared" si="113"/>
        <v>125</v>
      </c>
      <c r="J238" s="4">
        <v>10</v>
      </c>
      <c r="K238" s="4">
        <f t="shared" si="114"/>
        <v>125</v>
      </c>
      <c r="L238">
        <f t="shared" si="123"/>
        <v>430</v>
      </c>
      <c r="M238">
        <f t="shared" si="119"/>
        <v>420</v>
      </c>
      <c r="N238" s="4">
        <v>2</v>
      </c>
      <c r="O238" s="4">
        <v>22</v>
      </c>
      <c r="P238" s="21">
        <f t="shared" si="112"/>
        <v>760.26542216872997</v>
      </c>
      <c r="Q238" s="29">
        <f t="shared" si="121"/>
        <v>2.8288945941162047E-2</v>
      </c>
      <c r="R238" s="21">
        <v>460</v>
      </c>
      <c r="S238" s="41">
        <f t="shared" si="116"/>
        <v>2</v>
      </c>
      <c r="T238" s="41">
        <f t="shared" si="117"/>
        <v>1.9534883720930232</v>
      </c>
      <c r="U238" s="4">
        <v>10</v>
      </c>
      <c r="V238">
        <v>99.1</v>
      </c>
      <c r="W238" s="61" t="s">
        <v>456</v>
      </c>
      <c r="X238" s="7">
        <f t="shared" si="95"/>
        <v>1</v>
      </c>
      <c r="Y238" s="4">
        <v>60</v>
      </c>
      <c r="Z238" s="8">
        <v>0.5</v>
      </c>
      <c r="AA238" s="4">
        <v>0.8</v>
      </c>
      <c r="AB238" s="68">
        <v>75</v>
      </c>
      <c r="AC238" s="4">
        <v>260</v>
      </c>
      <c r="AD238" s="7">
        <f t="shared" si="96"/>
        <v>0.375</v>
      </c>
      <c r="AE238" s="21">
        <f t="shared" si="91"/>
        <v>129537.5</v>
      </c>
      <c r="AF238" s="68">
        <f t="shared" si="124"/>
        <v>259.07499999999999</v>
      </c>
      <c r="AG238" s="41">
        <v>4.82</v>
      </c>
      <c r="AH238" s="45">
        <f t="shared" si="97"/>
        <v>0.48418375142740683</v>
      </c>
      <c r="AI238" s="45">
        <f t="shared" si="98"/>
        <v>1.041571656864692</v>
      </c>
      <c r="AJ238" s="21">
        <f t="shared" si="125"/>
        <v>129.53749999999999</v>
      </c>
      <c r="AK238" s="21">
        <f t="shared" si="99"/>
        <v>0.78125</v>
      </c>
      <c r="AL238" s="21">
        <f t="shared" si="93"/>
        <v>0.53125000000000011</v>
      </c>
      <c r="AM238" s="21">
        <f t="shared" si="118"/>
        <v>130.06874999999999</v>
      </c>
      <c r="AN238" s="41">
        <f t="shared" si="100"/>
        <v>4.8397674418604648</v>
      </c>
      <c r="AO238" s="41">
        <f t="shared" si="101"/>
        <v>0.48616945145979745</v>
      </c>
      <c r="AP238" s="41">
        <f t="shared" si="102"/>
        <v>1.0458432766096257</v>
      </c>
      <c r="AQ238" s="21">
        <f t="shared" si="103"/>
        <v>0.1462109375</v>
      </c>
      <c r="AR238" s="21">
        <f t="shared" si="104"/>
        <v>55.701124999999998</v>
      </c>
      <c r="AS238" s="21">
        <f t="shared" si="105"/>
        <v>55.847335937499999</v>
      </c>
      <c r="AT238" s="41">
        <f t="shared" si="106"/>
        <v>1.9970596386302859</v>
      </c>
    </row>
    <row r="239" spans="1:60" x14ac:dyDescent="0.25">
      <c r="B239" s="4" t="s">
        <v>260</v>
      </c>
      <c r="C239" s="8">
        <v>125</v>
      </c>
      <c r="D239" s="4">
        <v>250</v>
      </c>
      <c r="E239" s="8">
        <v>215</v>
      </c>
      <c r="F239">
        <f t="shared" si="122"/>
        <v>2540</v>
      </c>
      <c r="G239" s="8">
        <v>2220</v>
      </c>
      <c r="H239" s="4">
        <v>10</v>
      </c>
      <c r="I239" s="4">
        <f t="shared" si="113"/>
        <v>125</v>
      </c>
      <c r="J239" s="4">
        <v>10</v>
      </c>
      <c r="K239" s="4">
        <f t="shared" si="114"/>
        <v>125</v>
      </c>
      <c r="L239">
        <f t="shared" si="123"/>
        <v>860</v>
      </c>
      <c r="M239">
        <f t="shared" si="119"/>
        <v>850</v>
      </c>
      <c r="N239" s="4">
        <v>2</v>
      </c>
      <c r="O239" s="4">
        <v>22</v>
      </c>
      <c r="P239" s="21">
        <f t="shared" si="112"/>
        <v>760.26542216872997</v>
      </c>
      <c r="Q239" s="29">
        <f t="shared" si="121"/>
        <v>2.8288945941162047E-2</v>
      </c>
      <c r="R239" s="21">
        <v>460</v>
      </c>
      <c r="S239" s="41">
        <f t="shared" si="116"/>
        <v>4</v>
      </c>
      <c r="T239" s="41">
        <f t="shared" si="117"/>
        <v>3.9534883720930232</v>
      </c>
      <c r="U239" s="4">
        <v>10</v>
      </c>
      <c r="V239">
        <v>95.4</v>
      </c>
      <c r="W239" s="61" t="s">
        <v>456</v>
      </c>
      <c r="X239" s="7">
        <f t="shared" si="95"/>
        <v>1</v>
      </c>
      <c r="Y239" s="4">
        <v>60</v>
      </c>
      <c r="Z239" s="8">
        <v>0.5</v>
      </c>
      <c r="AA239" s="4">
        <v>0.8</v>
      </c>
      <c r="AB239" s="68">
        <v>75</v>
      </c>
      <c r="AC239" s="4">
        <v>260</v>
      </c>
      <c r="AD239" s="7">
        <f t="shared" si="96"/>
        <v>0.375</v>
      </c>
      <c r="AE239" s="21">
        <f t="shared" si="91"/>
        <v>61006.25</v>
      </c>
      <c r="AF239" s="68">
        <f t="shared" si="124"/>
        <v>122.0125</v>
      </c>
      <c r="AG239" s="41">
        <v>2.27</v>
      </c>
      <c r="AH239" s="45">
        <f t="shared" si="97"/>
        <v>0.23240831920217817</v>
      </c>
      <c r="AI239" s="45">
        <f t="shared" si="98"/>
        <v>0.49679406511597757</v>
      </c>
      <c r="AJ239" s="21">
        <f t="shared" si="125"/>
        <v>61.006250000000001</v>
      </c>
      <c r="AK239" s="21">
        <f t="shared" si="99"/>
        <v>0.78125</v>
      </c>
      <c r="AL239" s="21">
        <f t="shared" si="93"/>
        <v>0.86718750000000011</v>
      </c>
      <c r="AM239" s="21">
        <f t="shared" si="118"/>
        <v>61.873437500000001</v>
      </c>
      <c r="AN239" s="41">
        <f t="shared" si="100"/>
        <v>2.3022674418604652</v>
      </c>
      <c r="AO239" s="41">
        <f t="shared" si="101"/>
        <v>0.23571194119677938</v>
      </c>
      <c r="AP239" s="41">
        <f t="shared" si="102"/>
        <v>0.50385585965904101</v>
      </c>
      <c r="AQ239" s="21">
        <f t="shared" si="103"/>
        <v>0.44687500000000002</v>
      </c>
      <c r="AR239" s="21">
        <f t="shared" si="104"/>
        <v>52.465375000000002</v>
      </c>
      <c r="AS239" s="21">
        <f t="shared" si="105"/>
        <v>52.91225</v>
      </c>
      <c r="AT239" s="41">
        <f t="shared" si="106"/>
        <v>3.977530557795387</v>
      </c>
    </row>
    <row r="240" spans="1:60" x14ac:dyDescent="0.25">
      <c r="B240" s="4" t="s">
        <v>261</v>
      </c>
      <c r="C240" s="8">
        <v>125</v>
      </c>
      <c r="D240" s="4">
        <v>250</v>
      </c>
      <c r="E240" s="8">
        <v>215</v>
      </c>
      <c r="F240">
        <f t="shared" si="122"/>
        <v>3400</v>
      </c>
      <c r="G240" s="8">
        <v>3080</v>
      </c>
      <c r="H240" s="4">
        <v>10</v>
      </c>
      <c r="I240" s="4">
        <f t="shared" si="113"/>
        <v>125</v>
      </c>
      <c r="J240" s="4">
        <v>10</v>
      </c>
      <c r="K240" s="4">
        <f t="shared" si="114"/>
        <v>125</v>
      </c>
      <c r="L240">
        <f t="shared" si="123"/>
        <v>1290</v>
      </c>
      <c r="M240">
        <f t="shared" si="119"/>
        <v>1280</v>
      </c>
      <c r="N240" s="4">
        <v>2</v>
      </c>
      <c r="O240" s="4">
        <v>22</v>
      </c>
      <c r="P240" s="21">
        <f t="shared" si="112"/>
        <v>760.26542216872997</v>
      </c>
      <c r="Q240" s="29">
        <f t="shared" si="121"/>
        <v>2.8288945941162047E-2</v>
      </c>
      <c r="R240" s="21">
        <v>460</v>
      </c>
      <c r="S240" s="41">
        <f t="shared" si="116"/>
        <v>6</v>
      </c>
      <c r="T240" s="41">
        <f t="shared" si="117"/>
        <v>5.9534883720930232</v>
      </c>
      <c r="U240" s="4">
        <v>10</v>
      </c>
      <c r="V240">
        <v>95.83</v>
      </c>
      <c r="W240" s="61" t="s">
        <v>456</v>
      </c>
      <c r="X240" s="7">
        <f t="shared" si="95"/>
        <v>1</v>
      </c>
      <c r="Y240" s="4">
        <v>60</v>
      </c>
      <c r="Z240" s="8">
        <v>0.5</v>
      </c>
      <c r="AA240" s="4">
        <v>0.8</v>
      </c>
      <c r="AB240" s="68">
        <v>75</v>
      </c>
      <c r="AC240" s="4">
        <v>260</v>
      </c>
      <c r="AD240" s="7">
        <f t="shared" si="96"/>
        <v>0.375</v>
      </c>
      <c r="AE240" s="21">
        <f t="shared" si="91"/>
        <v>52406.25</v>
      </c>
      <c r="AF240" s="68">
        <f t="shared" si="124"/>
        <v>104.8125</v>
      </c>
      <c r="AG240" s="41">
        <v>1.95</v>
      </c>
      <c r="AH240" s="45">
        <f t="shared" si="97"/>
        <v>0.19919749253189001</v>
      </c>
      <c r="AI240" s="45">
        <f t="shared" si="98"/>
        <v>0.42612215561709355</v>
      </c>
      <c r="AJ240" s="21">
        <f t="shared" si="125"/>
        <v>52.40625</v>
      </c>
      <c r="AK240" s="21">
        <f t="shared" si="99"/>
        <v>0.78125</v>
      </c>
      <c r="AL240" s="21">
        <f t="shared" si="93"/>
        <v>1.203125</v>
      </c>
      <c r="AM240" s="21">
        <f t="shared" si="118"/>
        <v>53.609375</v>
      </c>
      <c r="AN240" s="41">
        <f t="shared" si="100"/>
        <v>1.9947674418604651</v>
      </c>
      <c r="AO240" s="41">
        <f t="shared" si="101"/>
        <v>0.20377060133479863</v>
      </c>
      <c r="AP240" s="41">
        <f t="shared" si="102"/>
        <v>0.43590492424634703</v>
      </c>
      <c r="AQ240" s="21">
        <f t="shared" si="103"/>
        <v>0.89199218750000009</v>
      </c>
      <c r="AR240" s="21">
        <f t="shared" si="104"/>
        <v>67.604062499999998</v>
      </c>
      <c r="AS240" s="21">
        <f t="shared" si="105"/>
        <v>68.496054687499992</v>
      </c>
      <c r="AT240" s="41">
        <f t="shared" si="106"/>
        <v>5.9427348457633205</v>
      </c>
    </row>
    <row r="241" spans="1:60" x14ac:dyDescent="0.25">
      <c r="A241" s="2"/>
      <c r="B241" s="4" t="s">
        <v>262</v>
      </c>
      <c r="C241" s="8">
        <v>125</v>
      </c>
      <c r="D241" s="4">
        <v>250</v>
      </c>
      <c r="E241" s="8">
        <v>215</v>
      </c>
      <c r="F241">
        <f t="shared" si="122"/>
        <v>1250</v>
      </c>
      <c r="G241" s="8">
        <v>930</v>
      </c>
      <c r="H241" s="4">
        <v>10</v>
      </c>
      <c r="I241" s="4">
        <f t="shared" si="113"/>
        <v>125</v>
      </c>
      <c r="J241" s="4">
        <v>10</v>
      </c>
      <c r="K241" s="4">
        <f t="shared" si="114"/>
        <v>125</v>
      </c>
      <c r="L241">
        <f t="shared" si="123"/>
        <v>215</v>
      </c>
      <c r="M241">
        <f t="shared" si="119"/>
        <v>205</v>
      </c>
      <c r="N241" s="4">
        <v>2</v>
      </c>
      <c r="O241" s="4">
        <v>22</v>
      </c>
      <c r="P241" s="21">
        <f t="shared" si="112"/>
        <v>760.26542216872997</v>
      </c>
      <c r="Q241" s="29">
        <f t="shared" si="121"/>
        <v>2.8288945941162047E-2</v>
      </c>
      <c r="R241" s="21">
        <v>460</v>
      </c>
      <c r="S241" s="41">
        <f t="shared" si="116"/>
        <v>1</v>
      </c>
      <c r="T241" s="41">
        <f t="shared" si="117"/>
        <v>0.95348837209302328</v>
      </c>
      <c r="U241" s="4">
        <v>10</v>
      </c>
      <c r="V241">
        <v>95.3</v>
      </c>
      <c r="W241" s="61" t="s">
        <v>456</v>
      </c>
      <c r="X241" s="7">
        <f t="shared" si="95"/>
        <v>1</v>
      </c>
      <c r="Y241" s="4">
        <v>60</v>
      </c>
      <c r="Z241" s="8">
        <v>1</v>
      </c>
      <c r="AA241" s="4">
        <v>0.8</v>
      </c>
      <c r="AB241" s="68">
        <v>75</v>
      </c>
      <c r="AC241" s="4">
        <v>260</v>
      </c>
      <c r="AD241" s="7">
        <f t="shared" si="96"/>
        <v>0.75</v>
      </c>
      <c r="AE241" s="21">
        <f t="shared" si="91"/>
        <v>342387.5</v>
      </c>
      <c r="AF241" s="68">
        <f t="shared" si="124"/>
        <v>684.77499999999998</v>
      </c>
      <c r="AG241" s="41">
        <v>12.74</v>
      </c>
      <c r="AH241" s="45">
        <f t="shared" si="97"/>
        <v>1.3050374593088778</v>
      </c>
      <c r="AI241" s="45">
        <f t="shared" si="98"/>
        <v>2.7891495072698222</v>
      </c>
      <c r="AJ241" s="21">
        <f t="shared" si="125"/>
        <v>342.38749999999999</v>
      </c>
      <c r="AK241" s="21">
        <f t="shared" si="99"/>
        <v>0.78125</v>
      </c>
      <c r="AL241" s="21">
        <f t="shared" si="93"/>
        <v>0.36328125000000011</v>
      </c>
      <c r="AM241" s="21">
        <f t="shared" si="118"/>
        <v>342.75078124999999</v>
      </c>
      <c r="AN241" s="41">
        <f t="shared" si="100"/>
        <v>12.753517441860465</v>
      </c>
      <c r="AO241" s="41">
        <f t="shared" si="101"/>
        <v>1.3064221349746499</v>
      </c>
      <c r="AP241" s="41">
        <f t="shared" si="102"/>
        <v>2.7921088609829043</v>
      </c>
      <c r="AQ241" s="21">
        <f t="shared" si="103"/>
        <v>5.0048828125E-2</v>
      </c>
      <c r="AR241" s="21">
        <f t="shared" si="104"/>
        <v>73.613312500000006</v>
      </c>
      <c r="AS241" s="21">
        <f t="shared" si="105"/>
        <v>73.663361328125006</v>
      </c>
      <c r="AT241" s="41">
        <f t="shared" si="106"/>
        <v>0.99961926854716121</v>
      </c>
    </row>
    <row r="242" spans="1:60" x14ac:dyDescent="0.25">
      <c r="A242" s="2"/>
      <c r="B242" s="4" t="s">
        <v>263</v>
      </c>
      <c r="C242" s="8">
        <v>125</v>
      </c>
      <c r="D242" s="4">
        <v>250</v>
      </c>
      <c r="E242" s="8">
        <v>215</v>
      </c>
      <c r="F242">
        <f t="shared" si="122"/>
        <v>1680</v>
      </c>
      <c r="G242" s="8">
        <v>1360</v>
      </c>
      <c r="H242" s="4">
        <v>10</v>
      </c>
      <c r="I242" s="4">
        <f t="shared" si="113"/>
        <v>125</v>
      </c>
      <c r="J242" s="4">
        <v>10</v>
      </c>
      <c r="K242" s="4">
        <f t="shared" si="114"/>
        <v>125</v>
      </c>
      <c r="L242">
        <f t="shared" si="123"/>
        <v>430</v>
      </c>
      <c r="M242">
        <f t="shared" si="119"/>
        <v>420</v>
      </c>
      <c r="N242" s="4">
        <v>2</v>
      </c>
      <c r="O242" s="4">
        <v>22</v>
      </c>
      <c r="P242" s="21">
        <f t="shared" si="112"/>
        <v>760.26542216872997</v>
      </c>
      <c r="Q242" s="29">
        <f t="shared" si="121"/>
        <v>2.8288945941162047E-2</v>
      </c>
      <c r="R242" s="21">
        <v>460</v>
      </c>
      <c r="S242" s="41">
        <f t="shared" si="116"/>
        <v>2</v>
      </c>
      <c r="T242" s="41">
        <f t="shared" si="117"/>
        <v>1.9534883720930232</v>
      </c>
      <c r="U242" s="4">
        <v>10</v>
      </c>
      <c r="V242">
        <v>95.3</v>
      </c>
      <c r="W242" s="61" t="s">
        <v>456</v>
      </c>
      <c r="X242" s="7">
        <f t="shared" si="95"/>
        <v>1</v>
      </c>
      <c r="Y242" s="4">
        <v>60</v>
      </c>
      <c r="Z242" s="8">
        <v>1</v>
      </c>
      <c r="AA242" s="4">
        <v>0.8</v>
      </c>
      <c r="AB242" s="68">
        <v>75</v>
      </c>
      <c r="AC242" s="4">
        <v>260</v>
      </c>
      <c r="AD242" s="7">
        <f t="shared" si="96"/>
        <v>0.75</v>
      </c>
      <c r="AE242" s="21">
        <f t="shared" ref="AE242:AE305" si="126">AJ242*1000</f>
        <v>162862.5</v>
      </c>
      <c r="AF242" s="68">
        <f t="shared" si="124"/>
        <v>325.72500000000002</v>
      </c>
      <c r="AG242" s="41">
        <v>6.06</v>
      </c>
      <c r="AH242" s="45">
        <f t="shared" si="97"/>
        <v>0.62076350105273148</v>
      </c>
      <c r="AI242" s="45">
        <f t="shared" si="98"/>
        <v>1.3267069084815637</v>
      </c>
      <c r="AJ242" s="21">
        <f t="shared" si="125"/>
        <v>162.86250000000001</v>
      </c>
      <c r="AK242" s="21">
        <f t="shared" si="99"/>
        <v>0.78125</v>
      </c>
      <c r="AL242" s="21">
        <f t="shared" si="93"/>
        <v>0.53125000000000011</v>
      </c>
      <c r="AM242" s="21">
        <f t="shared" si="118"/>
        <v>163.39375000000001</v>
      </c>
      <c r="AN242" s="41">
        <f t="shared" si="100"/>
        <v>6.079767441860465</v>
      </c>
      <c r="AO242" s="41">
        <f t="shared" si="101"/>
        <v>0.62278840310160255</v>
      </c>
      <c r="AP242" s="41">
        <f t="shared" si="102"/>
        <v>1.3310345655243503</v>
      </c>
      <c r="AQ242" s="21">
        <f t="shared" si="103"/>
        <v>0.1462109375</v>
      </c>
      <c r="AR242" s="21">
        <f t="shared" si="104"/>
        <v>70.030874999999995</v>
      </c>
      <c r="AS242" s="21">
        <f t="shared" si="105"/>
        <v>70.177085937499996</v>
      </c>
      <c r="AT242" s="41">
        <f t="shared" si="106"/>
        <v>1.9976593405322605</v>
      </c>
    </row>
    <row r="243" spans="1:60" x14ac:dyDescent="0.25">
      <c r="B243" s="4" t="s">
        <v>264</v>
      </c>
      <c r="C243" s="8">
        <v>125</v>
      </c>
      <c r="D243" s="4">
        <v>250</v>
      </c>
      <c r="E243" s="8">
        <v>215</v>
      </c>
      <c r="F243">
        <f t="shared" si="122"/>
        <v>2540</v>
      </c>
      <c r="G243" s="8">
        <v>2220</v>
      </c>
      <c r="H243" s="4">
        <v>10</v>
      </c>
      <c r="I243" s="4">
        <f t="shared" si="113"/>
        <v>125</v>
      </c>
      <c r="J243" s="4">
        <v>10</v>
      </c>
      <c r="K243" s="4">
        <f t="shared" si="114"/>
        <v>125</v>
      </c>
      <c r="L243">
        <f t="shared" si="123"/>
        <v>860</v>
      </c>
      <c r="M243">
        <f t="shared" si="119"/>
        <v>850</v>
      </c>
      <c r="N243" s="4">
        <v>2</v>
      </c>
      <c r="O243" s="4">
        <v>22</v>
      </c>
      <c r="P243" s="21">
        <f t="shared" si="112"/>
        <v>760.26542216872997</v>
      </c>
      <c r="Q243" s="29">
        <f t="shared" si="121"/>
        <v>2.8288945941162047E-2</v>
      </c>
      <c r="R243" s="21">
        <v>460</v>
      </c>
      <c r="S243" s="41">
        <f t="shared" si="116"/>
        <v>4</v>
      </c>
      <c r="T243" s="41">
        <f t="shared" si="117"/>
        <v>3.9534883720930232</v>
      </c>
      <c r="U243" s="4">
        <v>10</v>
      </c>
      <c r="V243">
        <v>97.53</v>
      </c>
      <c r="W243" s="61" t="s">
        <v>456</v>
      </c>
      <c r="X243" s="7">
        <f t="shared" si="95"/>
        <v>1</v>
      </c>
      <c r="Y243" s="4">
        <v>60</v>
      </c>
      <c r="Z243" s="8">
        <v>1</v>
      </c>
      <c r="AA243" s="4">
        <v>0.8</v>
      </c>
      <c r="AB243" s="68">
        <v>75</v>
      </c>
      <c r="AC243" s="4">
        <v>260</v>
      </c>
      <c r="AD243" s="7">
        <f t="shared" si="96"/>
        <v>0.75</v>
      </c>
      <c r="AE243" s="21">
        <f t="shared" si="126"/>
        <v>85193.75</v>
      </c>
      <c r="AF243" s="68">
        <f t="shared" si="124"/>
        <v>170.38749999999999</v>
      </c>
      <c r="AG243" s="41">
        <v>3.17</v>
      </c>
      <c r="AH243" s="45">
        <f t="shared" si="97"/>
        <v>0.32098900024051047</v>
      </c>
      <c r="AI243" s="45">
        <f t="shared" si="98"/>
        <v>0.68867320779046193</v>
      </c>
      <c r="AJ243" s="21">
        <f t="shared" si="125"/>
        <v>85.193749999999994</v>
      </c>
      <c r="AK243" s="21">
        <f t="shared" si="99"/>
        <v>0.78125</v>
      </c>
      <c r="AL243" s="21">
        <f t="shared" si="93"/>
        <v>0.86718750000000011</v>
      </c>
      <c r="AM243" s="21">
        <f t="shared" si="118"/>
        <v>86.060937499999994</v>
      </c>
      <c r="AN243" s="41">
        <f t="shared" si="100"/>
        <v>3.2022674418604651</v>
      </c>
      <c r="AO243" s="41">
        <f t="shared" si="101"/>
        <v>0.3242563484749299</v>
      </c>
      <c r="AP243" s="41">
        <f t="shared" si="102"/>
        <v>0.69568321494921237</v>
      </c>
      <c r="AQ243" s="21">
        <f t="shared" si="103"/>
        <v>0.44687500000000002</v>
      </c>
      <c r="AR243" s="21">
        <f t="shared" si="104"/>
        <v>73.266625000000005</v>
      </c>
      <c r="AS243" s="21">
        <f t="shared" si="105"/>
        <v>73.71350000000001</v>
      </c>
      <c r="AT243" s="41">
        <f t="shared" si="106"/>
        <v>3.983845613721011</v>
      </c>
    </row>
    <row r="244" spans="1:60" x14ac:dyDescent="0.25">
      <c r="B244" s="4" t="s">
        <v>265</v>
      </c>
      <c r="C244" s="8">
        <v>125</v>
      </c>
      <c r="D244" s="4">
        <v>250</v>
      </c>
      <c r="E244" s="8">
        <v>215</v>
      </c>
      <c r="F244">
        <f t="shared" si="122"/>
        <v>3400</v>
      </c>
      <c r="G244" s="8">
        <v>3080</v>
      </c>
      <c r="H244" s="4">
        <v>10</v>
      </c>
      <c r="I244" s="4">
        <f t="shared" si="113"/>
        <v>125</v>
      </c>
      <c r="J244" s="4">
        <v>10</v>
      </c>
      <c r="K244" s="4">
        <f t="shared" si="114"/>
        <v>125</v>
      </c>
      <c r="L244">
        <f t="shared" si="123"/>
        <v>1290</v>
      </c>
      <c r="M244">
        <f t="shared" si="119"/>
        <v>1280</v>
      </c>
      <c r="N244" s="4">
        <v>2</v>
      </c>
      <c r="O244" s="4">
        <v>22</v>
      </c>
      <c r="P244" s="21">
        <f t="shared" si="112"/>
        <v>760.26542216872997</v>
      </c>
      <c r="Q244" s="29">
        <f t="shared" si="121"/>
        <v>2.8288945941162047E-2</v>
      </c>
      <c r="R244" s="21">
        <v>460</v>
      </c>
      <c r="S244" s="41">
        <f t="shared" si="116"/>
        <v>6</v>
      </c>
      <c r="T244" s="41">
        <f t="shared" si="117"/>
        <v>5.9534883720930232</v>
      </c>
      <c r="U244" s="4">
        <v>10</v>
      </c>
      <c r="V244">
        <v>100.5</v>
      </c>
      <c r="W244" s="61" t="s">
        <v>456</v>
      </c>
      <c r="X244" s="7">
        <f t="shared" si="95"/>
        <v>1</v>
      </c>
      <c r="Y244" s="4">
        <v>60</v>
      </c>
      <c r="Z244" s="8">
        <v>1</v>
      </c>
      <c r="AA244" s="4">
        <v>0.8</v>
      </c>
      <c r="AB244" s="68">
        <v>75</v>
      </c>
      <c r="AC244" s="4">
        <v>260</v>
      </c>
      <c r="AD244" s="7">
        <f t="shared" si="96"/>
        <v>0.75</v>
      </c>
      <c r="AE244" s="21">
        <f t="shared" si="126"/>
        <v>52675</v>
      </c>
      <c r="AF244" s="68">
        <f t="shared" si="124"/>
        <v>105.35</v>
      </c>
      <c r="AG244" s="41">
        <v>1.96</v>
      </c>
      <c r="AH244" s="45">
        <f t="shared" si="97"/>
        <v>0.19551182987709603</v>
      </c>
      <c r="AI244" s="45">
        <f t="shared" si="98"/>
        <v>0.42156775410225023</v>
      </c>
      <c r="AJ244" s="21">
        <f t="shared" si="125"/>
        <v>52.674999999999997</v>
      </c>
      <c r="AK244" s="21">
        <f t="shared" si="99"/>
        <v>0.78125</v>
      </c>
      <c r="AL244" s="21">
        <f t="shared" ref="AL244:AL294" si="127">25*C244/1000*D244/1000*F244/1000-25*C244/1000*D244/1000*F244/1000*(F244/2000-(F244-G244)/2000)*1/(G244/1000)-25*C244/1000*D244/1000*(F244-G244)/2000</f>
        <v>1.203125</v>
      </c>
      <c r="AM244" s="21">
        <f t="shared" si="118"/>
        <v>53.878124999999997</v>
      </c>
      <c r="AN244" s="41">
        <f t="shared" si="100"/>
        <v>2.0047674418604653</v>
      </c>
      <c r="AO244" s="41">
        <f t="shared" si="101"/>
        <v>0.19997742399804302</v>
      </c>
      <c r="AP244" s="41">
        <f t="shared" si="102"/>
        <v>0.43119658569511726</v>
      </c>
      <c r="AQ244" s="21">
        <f t="shared" si="103"/>
        <v>0.89199218750000009</v>
      </c>
      <c r="AR244" s="21">
        <f t="shared" si="104"/>
        <v>67.950749999999999</v>
      </c>
      <c r="AS244" s="21">
        <f t="shared" si="105"/>
        <v>68.842742187499994</v>
      </c>
      <c r="AT244" s="41">
        <f t="shared" si="106"/>
        <v>5.9430204906368393</v>
      </c>
    </row>
    <row r="245" spans="1:60" x14ac:dyDescent="0.25">
      <c r="B245" s="4" t="s">
        <v>266</v>
      </c>
      <c r="C245" s="8">
        <v>125</v>
      </c>
      <c r="D245" s="4">
        <v>250</v>
      </c>
      <c r="E245" s="8">
        <v>215</v>
      </c>
      <c r="F245">
        <f t="shared" si="122"/>
        <v>1250</v>
      </c>
      <c r="G245" s="8">
        <v>930</v>
      </c>
      <c r="H245" s="4">
        <v>10</v>
      </c>
      <c r="I245" s="4">
        <f t="shared" si="113"/>
        <v>125</v>
      </c>
      <c r="J245" s="4">
        <v>10</v>
      </c>
      <c r="K245" s="4">
        <f t="shared" si="114"/>
        <v>125</v>
      </c>
      <c r="L245">
        <f t="shared" si="123"/>
        <v>215</v>
      </c>
      <c r="M245">
        <f t="shared" si="119"/>
        <v>205</v>
      </c>
      <c r="N245" s="4">
        <v>2</v>
      </c>
      <c r="O245" s="4">
        <v>22</v>
      </c>
      <c r="P245" s="21">
        <f t="shared" si="112"/>
        <v>760.26542216872997</v>
      </c>
      <c r="Q245" s="29">
        <f t="shared" si="121"/>
        <v>2.8288945941162047E-2</v>
      </c>
      <c r="R245" s="21">
        <v>460</v>
      </c>
      <c r="S245" s="41">
        <f t="shared" si="116"/>
        <v>1</v>
      </c>
      <c r="T245" s="41">
        <f t="shared" si="117"/>
        <v>0.95348837209302328</v>
      </c>
      <c r="U245" s="4">
        <v>10</v>
      </c>
      <c r="V245">
        <v>96.4</v>
      </c>
      <c r="W245" s="61" t="s">
        <v>456</v>
      </c>
      <c r="X245" s="7">
        <f t="shared" si="95"/>
        <v>1</v>
      </c>
      <c r="Y245" s="4">
        <v>60</v>
      </c>
      <c r="Z245" s="8">
        <v>1.5</v>
      </c>
      <c r="AA245" s="4">
        <v>0.8</v>
      </c>
      <c r="AB245" s="68">
        <v>75</v>
      </c>
      <c r="AC245" s="4">
        <v>260</v>
      </c>
      <c r="AD245" s="7">
        <f t="shared" si="96"/>
        <v>1.125</v>
      </c>
      <c r="AE245" s="21">
        <f t="shared" si="126"/>
        <v>374906.25</v>
      </c>
      <c r="AF245" s="68">
        <f t="shared" si="124"/>
        <v>749.8125</v>
      </c>
      <c r="AG245" s="41">
        <v>13.95</v>
      </c>
      <c r="AH245" s="45">
        <f t="shared" si="97"/>
        <v>1.4208089712484513</v>
      </c>
      <c r="AI245" s="45">
        <f t="shared" si="98"/>
        <v>3.0423921813360293</v>
      </c>
      <c r="AJ245" s="21">
        <f t="shared" si="125"/>
        <v>374.90625</v>
      </c>
      <c r="AK245" s="21">
        <f t="shared" si="99"/>
        <v>0.78125</v>
      </c>
      <c r="AL245" s="21">
        <f t="shared" si="127"/>
        <v>0.36328125000000011</v>
      </c>
      <c r="AM245" s="21">
        <f t="shared" si="118"/>
        <v>375.26953125</v>
      </c>
      <c r="AN245" s="41">
        <f t="shared" si="100"/>
        <v>13.963517441860466</v>
      </c>
      <c r="AO245" s="41">
        <f t="shared" si="101"/>
        <v>1.4221857241275682</v>
      </c>
      <c r="AP245" s="41">
        <f t="shared" si="102"/>
        <v>3.0453402357753085</v>
      </c>
      <c r="AQ245" s="21">
        <f t="shared" si="103"/>
        <v>5.0048828125E-2</v>
      </c>
      <c r="AR245" s="21">
        <f t="shared" si="104"/>
        <v>80.604843750000001</v>
      </c>
      <c r="AS245" s="21">
        <f t="shared" si="105"/>
        <v>80.654892578125001</v>
      </c>
      <c r="AT245" s="41">
        <f t="shared" si="106"/>
        <v>0.99965226059661094</v>
      </c>
    </row>
    <row r="246" spans="1:60" x14ac:dyDescent="0.25">
      <c r="B246" s="4" t="s">
        <v>267</v>
      </c>
      <c r="C246" s="8">
        <v>125</v>
      </c>
      <c r="D246" s="4">
        <v>250</v>
      </c>
      <c r="E246" s="8">
        <v>215</v>
      </c>
      <c r="F246">
        <f t="shared" si="122"/>
        <v>1680</v>
      </c>
      <c r="G246" s="8">
        <v>1360</v>
      </c>
      <c r="H246" s="4">
        <v>10</v>
      </c>
      <c r="I246" s="4">
        <f t="shared" si="113"/>
        <v>125</v>
      </c>
      <c r="J246" s="4">
        <v>10</v>
      </c>
      <c r="K246" s="4">
        <f t="shared" si="114"/>
        <v>125</v>
      </c>
      <c r="L246">
        <f t="shared" si="123"/>
        <v>430</v>
      </c>
      <c r="M246">
        <f t="shared" si="119"/>
        <v>420</v>
      </c>
      <c r="N246" s="4">
        <v>2</v>
      </c>
      <c r="O246" s="4">
        <v>22</v>
      </c>
      <c r="P246" s="21">
        <f t="shared" si="112"/>
        <v>760.26542216872997</v>
      </c>
      <c r="Q246" s="29">
        <f t="shared" si="121"/>
        <v>2.8288945941162047E-2</v>
      </c>
      <c r="R246" s="21">
        <v>460</v>
      </c>
      <c r="S246" s="41">
        <f t="shared" si="116"/>
        <v>2</v>
      </c>
      <c r="T246" s="41">
        <f t="shared" si="117"/>
        <v>1.9534883720930232</v>
      </c>
      <c r="U246" s="4">
        <v>10</v>
      </c>
      <c r="V246">
        <v>96.6</v>
      </c>
      <c r="W246" s="61" t="s">
        <v>456</v>
      </c>
      <c r="X246" s="7">
        <f t="shared" si="95"/>
        <v>1</v>
      </c>
      <c r="Y246" s="4">
        <v>60</v>
      </c>
      <c r="Z246" s="8">
        <v>1.5</v>
      </c>
      <c r="AA246" s="4">
        <v>0.8</v>
      </c>
      <c r="AB246" s="68">
        <v>75</v>
      </c>
      <c r="AC246" s="4">
        <v>260</v>
      </c>
      <c r="AD246" s="7">
        <f t="shared" si="96"/>
        <v>1.125</v>
      </c>
      <c r="AE246" s="21">
        <f t="shared" si="126"/>
        <v>193768.75</v>
      </c>
      <c r="AF246" s="68">
        <f t="shared" si="124"/>
        <v>387.53750000000002</v>
      </c>
      <c r="AG246" s="41">
        <v>7.21</v>
      </c>
      <c r="AH246" s="45">
        <f t="shared" si="97"/>
        <v>0.73357868096027723</v>
      </c>
      <c r="AI246" s="45">
        <f t="shared" si="98"/>
        <v>1.571361913598198</v>
      </c>
      <c r="AJ246" s="21">
        <f t="shared" si="125"/>
        <v>193.76875000000001</v>
      </c>
      <c r="AK246" s="21">
        <f t="shared" si="99"/>
        <v>0.78125</v>
      </c>
      <c r="AL246" s="21">
        <f t="shared" si="127"/>
        <v>0.53125000000000011</v>
      </c>
      <c r="AM246" s="21">
        <f t="shared" si="118"/>
        <v>194.3</v>
      </c>
      <c r="AN246" s="41">
        <f t="shared" si="100"/>
        <v>7.2297674418604654</v>
      </c>
      <c r="AO246" s="41">
        <f t="shared" si="101"/>
        <v>0.73558991174057675</v>
      </c>
      <c r="AP246" s="41">
        <f t="shared" si="102"/>
        <v>1.5756700696687669</v>
      </c>
      <c r="AQ246" s="21">
        <f t="shared" si="103"/>
        <v>0.1462109375</v>
      </c>
      <c r="AR246" s="21">
        <f t="shared" si="104"/>
        <v>83.320562499999994</v>
      </c>
      <c r="AS246" s="21">
        <f t="shared" si="105"/>
        <v>83.466773437499995</v>
      </c>
      <c r="AT246" s="41">
        <f t="shared" si="106"/>
        <v>1.9980316565727894</v>
      </c>
    </row>
    <row r="247" spans="1:60" x14ac:dyDescent="0.25">
      <c r="B247" s="4" t="s">
        <v>268</v>
      </c>
      <c r="C247" s="8">
        <v>125</v>
      </c>
      <c r="D247" s="4">
        <v>250</v>
      </c>
      <c r="E247" s="8">
        <v>215</v>
      </c>
      <c r="F247">
        <f t="shared" si="122"/>
        <v>2540</v>
      </c>
      <c r="G247" s="8">
        <v>2220</v>
      </c>
      <c r="H247" s="4">
        <v>10</v>
      </c>
      <c r="I247" s="4">
        <f t="shared" si="113"/>
        <v>125</v>
      </c>
      <c r="J247" s="4">
        <v>10</v>
      </c>
      <c r="K247" s="4">
        <f t="shared" si="114"/>
        <v>125</v>
      </c>
      <c r="L247">
        <f t="shared" si="123"/>
        <v>860</v>
      </c>
      <c r="M247">
        <f t="shared" si="119"/>
        <v>850</v>
      </c>
      <c r="N247" s="4">
        <v>2</v>
      </c>
      <c r="O247" s="4">
        <v>22</v>
      </c>
      <c r="P247" s="21">
        <f t="shared" si="112"/>
        <v>760.26542216872997</v>
      </c>
      <c r="Q247" s="29">
        <f t="shared" si="121"/>
        <v>2.8288945941162047E-2</v>
      </c>
      <c r="R247" s="21">
        <v>460</v>
      </c>
      <c r="S247" s="41">
        <f t="shared" si="116"/>
        <v>4</v>
      </c>
      <c r="T247" s="41">
        <f t="shared" si="117"/>
        <v>3.9534883720930232</v>
      </c>
      <c r="U247" s="4">
        <v>10</v>
      </c>
      <c r="V247">
        <v>97.1</v>
      </c>
      <c r="W247" s="61" t="s">
        <v>456</v>
      </c>
      <c r="X247" s="7">
        <f t="shared" si="95"/>
        <v>1</v>
      </c>
      <c r="Y247" s="4">
        <v>60</v>
      </c>
      <c r="Z247" s="8">
        <v>1.5</v>
      </c>
      <c r="AA247" s="4">
        <v>0.8</v>
      </c>
      <c r="AB247" s="68">
        <v>75</v>
      </c>
      <c r="AC247" s="4">
        <v>260</v>
      </c>
      <c r="AD247" s="7">
        <f t="shared" si="96"/>
        <v>1.125</v>
      </c>
      <c r="AE247" s="21">
        <f t="shared" si="126"/>
        <v>94331.25</v>
      </c>
      <c r="AF247" s="68">
        <f t="shared" si="124"/>
        <v>188.66249999999999</v>
      </c>
      <c r="AG247" s="41">
        <v>3.51</v>
      </c>
      <c r="AH247" s="45">
        <f t="shared" si="97"/>
        <v>0.35620294149596948</v>
      </c>
      <c r="AI247" s="45">
        <f t="shared" si="98"/>
        <v>0.76366116643491289</v>
      </c>
      <c r="AJ247" s="21">
        <f t="shared" si="125"/>
        <v>94.331249999999997</v>
      </c>
      <c r="AK247" s="21">
        <f t="shared" si="99"/>
        <v>0.78125</v>
      </c>
      <c r="AL247" s="21">
        <f t="shared" si="127"/>
        <v>0.86718750000000011</v>
      </c>
      <c r="AM247" s="21">
        <f t="shared" si="118"/>
        <v>95.198437499999997</v>
      </c>
      <c r="AN247" s="41">
        <f t="shared" si="100"/>
        <v>3.5422674418604649</v>
      </c>
      <c r="AO247" s="41">
        <f t="shared" si="101"/>
        <v>0.35947751634076947</v>
      </c>
      <c r="AP247" s="41">
        <f t="shared" si="102"/>
        <v>0.77068150611839825</v>
      </c>
      <c r="AQ247" s="21">
        <f t="shared" si="103"/>
        <v>0.44687500000000002</v>
      </c>
      <c r="AR247" s="21">
        <f t="shared" si="104"/>
        <v>81.124875000000003</v>
      </c>
      <c r="AS247" s="21">
        <f t="shared" si="105"/>
        <v>81.571750000000009</v>
      </c>
      <c r="AT247" s="41">
        <f t="shared" si="106"/>
        <v>3.9853961717816331</v>
      </c>
    </row>
    <row r="248" spans="1:60" x14ac:dyDescent="0.25">
      <c r="B248" s="4" t="s">
        <v>269</v>
      </c>
      <c r="C248" s="8">
        <v>125</v>
      </c>
      <c r="D248" s="4">
        <v>250</v>
      </c>
      <c r="E248" s="8">
        <v>215</v>
      </c>
      <c r="F248">
        <f t="shared" si="122"/>
        <v>3400</v>
      </c>
      <c r="G248" s="8">
        <v>3080</v>
      </c>
      <c r="H248" s="4">
        <v>10</v>
      </c>
      <c r="I248" s="4">
        <f t="shared" si="113"/>
        <v>125</v>
      </c>
      <c r="J248" s="4">
        <v>10</v>
      </c>
      <c r="K248" s="4">
        <f t="shared" si="114"/>
        <v>125</v>
      </c>
      <c r="L248">
        <f t="shared" si="123"/>
        <v>1290</v>
      </c>
      <c r="M248">
        <f t="shared" si="119"/>
        <v>1280</v>
      </c>
      <c r="N248" s="4">
        <v>2</v>
      </c>
      <c r="O248" s="4">
        <v>22</v>
      </c>
      <c r="P248" s="21">
        <f t="shared" si="112"/>
        <v>760.26542216872997</v>
      </c>
      <c r="Q248" s="29">
        <f t="shared" si="121"/>
        <v>2.8288945941162047E-2</v>
      </c>
      <c r="R248" s="21">
        <v>460</v>
      </c>
      <c r="S248" s="41">
        <f t="shared" si="116"/>
        <v>6</v>
      </c>
      <c r="T248" s="41">
        <f t="shared" si="117"/>
        <v>5.9534883720930232</v>
      </c>
      <c r="U248" s="4">
        <v>10</v>
      </c>
      <c r="V248">
        <v>101.32</v>
      </c>
      <c r="W248" s="61" t="s">
        <v>456</v>
      </c>
      <c r="X248" s="7">
        <f t="shared" si="95"/>
        <v>1</v>
      </c>
      <c r="Y248" s="4">
        <v>60</v>
      </c>
      <c r="Z248" s="8">
        <v>1.5</v>
      </c>
      <c r="AA248" s="4">
        <v>0.8</v>
      </c>
      <c r="AB248" s="68">
        <v>75</v>
      </c>
      <c r="AC248" s="4">
        <v>260</v>
      </c>
      <c r="AD248" s="7">
        <f t="shared" si="96"/>
        <v>1.125</v>
      </c>
      <c r="AE248" s="21">
        <f t="shared" si="126"/>
        <v>53212.5</v>
      </c>
      <c r="AF248" s="68">
        <f t="shared" si="124"/>
        <v>106.425</v>
      </c>
      <c r="AG248" s="41">
        <v>1.98</v>
      </c>
      <c r="AH248" s="45">
        <f t="shared" si="97"/>
        <v>0.19670599663387292</v>
      </c>
      <c r="AI248" s="45">
        <f t="shared" si="98"/>
        <v>0.42471747449582509</v>
      </c>
      <c r="AJ248" s="21">
        <f t="shared" si="125"/>
        <v>53.212499999999999</v>
      </c>
      <c r="AK248" s="21">
        <f t="shared" si="99"/>
        <v>0.78125</v>
      </c>
      <c r="AL248" s="21">
        <f t="shared" si="127"/>
        <v>1.203125</v>
      </c>
      <c r="AM248" s="21">
        <f t="shared" si="118"/>
        <v>54.415624999999999</v>
      </c>
      <c r="AN248" s="41">
        <f t="shared" si="100"/>
        <v>2.0247674418604653</v>
      </c>
      <c r="AO248" s="41">
        <f t="shared" si="101"/>
        <v>0.20115348363786878</v>
      </c>
      <c r="AP248" s="41">
        <f t="shared" si="102"/>
        <v>0.43432025977189354</v>
      </c>
      <c r="AQ248" s="21">
        <f t="shared" si="103"/>
        <v>0.89199218750000009</v>
      </c>
      <c r="AR248" s="21">
        <f t="shared" si="104"/>
        <v>68.644125000000003</v>
      </c>
      <c r="AS248" s="21">
        <f t="shared" si="105"/>
        <v>69.536117187499997</v>
      </c>
      <c r="AT248" s="41">
        <f t="shared" si="106"/>
        <v>5.9435833158599758</v>
      </c>
    </row>
    <row r="249" spans="1:60" x14ac:dyDescent="0.25">
      <c r="B249" s="4" t="s">
        <v>270</v>
      </c>
      <c r="C249" s="8">
        <v>125</v>
      </c>
      <c r="D249" s="4">
        <v>250</v>
      </c>
      <c r="E249" s="8">
        <v>215</v>
      </c>
      <c r="F249">
        <f t="shared" si="122"/>
        <v>1680</v>
      </c>
      <c r="G249" s="8">
        <v>1360</v>
      </c>
      <c r="H249" s="4">
        <v>10</v>
      </c>
      <c r="I249" s="4">
        <f t="shared" si="113"/>
        <v>125</v>
      </c>
      <c r="J249" s="4">
        <v>10</v>
      </c>
      <c r="K249" s="4">
        <f t="shared" si="114"/>
        <v>125</v>
      </c>
      <c r="L249">
        <f t="shared" si="123"/>
        <v>430</v>
      </c>
      <c r="M249">
        <f t="shared" si="119"/>
        <v>420</v>
      </c>
      <c r="N249" s="4">
        <v>2</v>
      </c>
      <c r="O249" s="4">
        <v>28</v>
      </c>
      <c r="P249" s="21">
        <f t="shared" si="112"/>
        <v>1231.5043202071988</v>
      </c>
      <c r="Q249" s="29">
        <f t="shared" si="121"/>
        <v>4.5823416565849255E-2</v>
      </c>
      <c r="R249" s="21">
        <v>470</v>
      </c>
      <c r="S249" s="41">
        <f t="shared" si="116"/>
        <v>2</v>
      </c>
      <c r="T249" s="41">
        <f t="shared" si="117"/>
        <v>1.9534883720930232</v>
      </c>
      <c r="U249" s="4">
        <v>10</v>
      </c>
      <c r="V249">
        <v>94.5</v>
      </c>
      <c r="W249" s="61" t="s">
        <v>456</v>
      </c>
      <c r="X249" s="7">
        <f t="shared" si="95"/>
        <v>1</v>
      </c>
      <c r="Y249" s="4">
        <v>60</v>
      </c>
      <c r="Z249" s="8">
        <v>1</v>
      </c>
      <c r="AA249" s="4">
        <v>0.8</v>
      </c>
      <c r="AB249" s="68">
        <v>75</v>
      </c>
      <c r="AC249" s="4">
        <v>260</v>
      </c>
      <c r="AD249" s="7">
        <f t="shared" si="96"/>
        <v>0.75</v>
      </c>
      <c r="AE249" s="21">
        <f t="shared" si="126"/>
        <v>180868.75</v>
      </c>
      <c r="AF249" s="68">
        <f t="shared" si="124"/>
        <v>361.73750000000001</v>
      </c>
      <c r="AG249" s="41">
        <v>6.73</v>
      </c>
      <c r="AH249" s="45">
        <f t="shared" si="97"/>
        <v>0.69230769682991911</v>
      </c>
      <c r="AI249" s="45">
        <f t="shared" si="98"/>
        <v>1.4775350593120642</v>
      </c>
      <c r="AJ249" s="21">
        <f t="shared" si="125"/>
        <v>180.86875000000001</v>
      </c>
      <c r="AK249" s="21">
        <f t="shared" si="99"/>
        <v>0.78125</v>
      </c>
      <c r="AL249" s="21">
        <f t="shared" si="127"/>
        <v>0.53125000000000011</v>
      </c>
      <c r="AM249" s="21">
        <f t="shared" si="118"/>
        <v>181.4</v>
      </c>
      <c r="AN249" s="41">
        <f t="shared" si="100"/>
        <v>6.749767441860465</v>
      </c>
      <c r="AO249" s="41">
        <f t="shared" si="101"/>
        <v>0.69434115182941947</v>
      </c>
      <c r="AP249" s="41">
        <f t="shared" si="102"/>
        <v>1.4818748941384756</v>
      </c>
      <c r="AQ249" s="21">
        <f t="shared" si="103"/>
        <v>0.1462109375</v>
      </c>
      <c r="AR249" s="21">
        <f t="shared" si="104"/>
        <v>77.773562499999997</v>
      </c>
      <c r="AS249" s="21">
        <f t="shared" si="105"/>
        <v>77.919773437499998</v>
      </c>
      <c r="AT249" s="41">
        <f t="shared" si="106"/>
        <v>1.9978916806620344</v>
      </c>
    </row>
    <row r="250" spans="1:60" x14ac:dyDescent="0.25">
      <c r="B250" s="4" t="s">
        <v>271</v>
      </c>
      <c r="C250" s="8">
        <v>125</v>
      </c>
      <c r="D250" s="4">
        <v>250</v>
      </c>
      <c r="E250" s="8">
        <v>215</v>
      </c>
      <c r="F250">
        <f t="shared" si="122"/>
        <v>2540</v>
      </c>
      <c r="G250" s="8">
        <v>2220</v>
      </c>
      <c r="H250" s="4">
        <v>10</v>
      </c>
      <c r="I250" s="4">
        <f t="shared" si="113"/>
        <v>125</v>
      </c>
      <c r="J250" s="4">
        <v>10</v>
      </c>
      <c r="K250" s="4">
        <f t="shared" si="114"/>
        <v>125</v>
      </c>
      <c r="L250">
        <f t="shared" si="123"/>
        <v>860</v>
      </c>
      <c r="M250">
        <f t="shared" si="119"/>
        <v>850</v>
      </c>
      <c r="N250" s="4">
        <v>2</v>
      </c>
      <c r="O250" s="4">
        <v>28</v>
      </c>
      <c r="P250" s="21">
        <f t="shared" si="112"/>
        <v>1231.5043202071988</v>
      </c>
      <c r="Q250" s="29">
        <f t="shared" si="121"/>
        <v>4.5823416565849255E-2</v>
      </c>
      <c r="R250" s="21">
        <v>470</v>
      </c>
      <c r="S250" s="41">
        <f t="shared" si="116"/>
        <v>4</v>
      </c>
      <c r="T250" s="41">
        <f t="shared" si="117"/>
        <v>3.9534883720930232</v>
      </c>
      <c r="U250" s="4">
        <v>10</v>
      </c>
      <c r="V250">
        <v>93.8</v>
      </c>
      <c r="W250" s="61" t="s">
        <v>456</v>
      </c>
      <c r="X250" s="7">
        <f t="shared" si="95"/>
        <v>1</v>
      </c>
      <c r="Y250" s="4">
        <v>60</v>
      </c>
      <c r="Z250" s="8">
        <v>1</v>
      </c>
      <c r="AA250" s="4">
        <v>0.8</v>
      </c>
      <c r="AB250" s="68">
        <v>75</v>
      </c>
      <c r="AC250" s="4">
        <v>260</v>
      </c>
      <c r="AD250" s="7">
        <f t="shared" si="96"/>
        <v>0.75</v>
      </c>
      <c r="AE250" s="21">
        <f t="shared" si="126"/>
        <v>104275</v>
      </c>
      <c r="AF250" s="68">
        <f t="shared" si="124"/>
        <v>208.55</v>
      </c>
      <c r="AG250" s="41">
        <v>3.88</v>
      </c>
      <c r="AH250" s="45">
        <f t="shared" si="97"/>
        <v>0.40061785969873448</v>
      </c>
      <c r="AI250" s="45">
        <f t="shared" si="98"/>
        <v>0.85394672927647863</v>
      </c>
      <c r="AJ250" s="21">
        <f t="shared" si="125"/>
        <v>104.27500000000001</v>
      </c>
      <c r="AK250" s="21">
        <f t="shared" si="99"/>
        <v>0.78125</v>
      </c>
      <c r="AL250" s="21">
        <f t="shared" si="127"/>
        <v>0.86718750000000011</v>
      </c>
      <c r="AM250" s="21">
        <f t="shared" si="118"/>
        <v>105.14218750000001</v>
      </c>
      <c r="AN250" s="41">
        <f t="shared" si="100"/>
        <v>3.912267441860465</v>
      </c>
      <c r="AO250" s="41">
        <f t="shared" si="101"/>
        <v>0.40394953843484088</v>
      </c>
      <c r="AP250" s="41">
        <f t="shared" si="102"/>
        <v>0.86104845000814434</v>
      </c>
      <c r="AQ250" s="21">
        <f t="shared" si="103"/>
        <v>0.44687500000000002</v>
      </c>
      <c r="AR250" s="21">
        <f t="shared" si="104"/>
        <v>89.676500000000004</v>
      </c>
      <c r="AS250" s="21">
        <f t="shared" si="105"/>
        <v>90.12337500000001</v>
      </c>
      <c r="AT250" s="41">
        <f t="shared" si="106"/>
        <v>3.9867773187817028</v>
      </c>
    </row>
    <row r="251" spans="1:60" x14ac:dyDescent="0.25">
      <c r="A251" s="1"/>
      <c r="B251" s="10" t="s">
        <v>272</v>
      </c>
      <c r="C251" s="9">
        <v>125</v>
      </c>
      <c r="D251" s="10">
        <v>250</v>
      </c>
      <c r="E251" s="9">
        <v>215</v>
      </c>
      <c r="F251" s="1">
        <f t="shared" si="122"/>
        <v>3400</v>
      </c>
      <c r="G251" s="9">
        <v>3080</v>
      </c>
      <c r="H251" s="10">
        <v>10</v>
      </c>
      <c r="I251" s="10">
        <f t="shared" si="113"/>
        <v>125</v>
      </c>
      <c r="J251" s="10">
        <v>10</v>
      </c>
      <c r="K251" s="10">
        <f t="shared" si="114"/>
        <v>125</v>
      </c>
      <c r="L251" s="1">
        <f t="shared" si="123"/>
        <v>1290</v>
      </c>
      <c r="M251" s="1">
        <f t="shared" si="119"/>
        <v>1280</v>
      </c>
      <c r="N251" s="10">
        <v>2</v>
      </c>
      <c r="O251" s="10">
        <v>28</v>
      </c>
      <c r="P251" s="27">
        <f t="shared" si="112"/>
        <v>1231.5043202071988</v>
      </c>
      <c r="Q251" s="36">
        <f t="shared" si="121"/>
        <v>4.5823416565849255E-2</v>
      </c>
      <c r="R251" s="27">
        <v>470</v>
      </c>
      <c r="S251" s="48">
        <f t="shared" si="116"/>
        <v>6</v>
      </c>
      <c r="T251" s="48">
        <f t="shared" si="117"/>
        <v>5.9534883720930232</v>
      </c>
      <c r="U251" s="10">
        <v>10</v>
      </c>
      <c r="V251" s="1">
        <v>95</v>
      </c>
      <c r="W251" s="62" t="s">
        <v>456</v>
      </c>
      <c r="X251" s="7">
        <f t="shared" si="95"/>
        <v>1</v>
      </c>
      <c r="Y251" s="10">
        <v>60</v>
      </c>
      <c r="Z251" s="9">
        <v>1</v>
      </c>
      <c r="AA251" s="10">
        <v>0.8</v>
      </c>
      <c r="AB251" s="69">
        <v>75</v>
      </c>
      <c r="AC251" s="10">
        <v>260</v>
      </c>
      <c r="AD251" s="7">
        <f t="shared" si="96"/>
        <v>0.75</v>
      </c>
      <c r="AE251" s="27">
        <f t="shared" si="126"/>
        <v>78743.75</v>
      </c>
      <c r="AF251" s="69">
        <f t="shared" si="124"/>
        <v>157.48750000000001</v>
      </c>
      <c r="AG251" s="48">
        <v>2.93</v>
      </c>
      <c r="AH251" s="45">
        <f t="shared" si="97"/>
        <v>0.30061165716095017</v>
      </c>
      <c r="AI251" s="45">
        <f t="shared" si="98"/>
        <v>0.64213511313539462</v>
      </c>
      <c r="AJ251" s="27">
        <f t="shared" si="125"/>
        <v>78.743750000000006</v>
      </c>
      <c r="AK251" s="21">
        <f t="shared" si="99"/>
        <v>0.78125</v>
      </c>
      <c r="AL251" s="27">
        <f t="shared" si="127"/>
        <v>1.203125</v>
      </c>
      <c r="AM251" s="27">
        <f t="shared" si="118"/>
        <v>79.946875000000006</v>
      </c>
      <c r="AN251" s="41">
        <f t="shared" si="100"/>
        <v>2.974767441860465</v>
      </c>
      <c r="AO251" s="41">
        <f t="shared" si="101"/>
        <v>0.30520469978365694</v>
      </c>
      <c r="AP251" s="41">
        <f t="shared" si="102"/>
        <v>0.6519462893619653</v>
      </c>
      <c r="AQ251" s="21">
        <f t="shared" si="103"/>
        <v>0.89199218750000009</v>
      </c>
      <c r="AR251" s="21">
        <f t="shared" si="104"/>
        <v>101.57943750000001</v>
      </c>
      <c r="AS251" s="21">
        <f t="shared" si="105"/>
        <v>102.47142968750001</v>
      </c>
      <c r="AT251" s="41">
        <f t="shared" si="106"/>
        <v>5.9616001359914703</v>
      </c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</row>
    <row r="252" spans="1:60" x14ac:dyDescent="0.25">
      <c r="A252" t="s">
        <v>28</v>
      </c>
      <c r="B252">
        <v>2</v>
      </c>
      <c r="C252" s="8">
        <v>140</v>
      </c>
      <c r="D252" s="4">
        <v>375</v>
      </c>
      <c r="E252" s="8">
        <v>340</v>
      </c>
      <c r="F252" s="4">
        <f>G252+400</f>
        <v>2310</v>
      </c>
      <c r="G252" s="8">
        <v>1910</v>
      </c>
      <c r="H252" s="4">
        <v>100</v>
      </c>
      <c r="I252" s="4">
        <f t="shared" si="113"/>
        <v>140</v>
      </c>
      <c r="J252" s="4">
        <v>100</v>
      </c>
      <c r="K252" s="4">
        <f t="shared" si="114"/>
        <v>140</v>
      </c>
      <c r="L252" s="4">
        <v>680</v>
      </c>
      <c r="M252" s="19">
        <f t="shared" si="119"/>
        <v>580</v>
      </c>
      <c r="N252" s="4">
        <v>6</v>
      </c>
      <c r="O252" s="4">
        <v>13</v>
      </c>
      <c r="P252" s="21">
        <f t="shared" si="112"/>
        <v>796.39373768501252</v>
      </c>
      <c r="Q252" s="29">
        <f t="shared" si="121"/>
        <v>1.6730960875735557E-2</v>
      </c>
      <c r="R252" s="21">
        <v>460</v>
      </c>
      <c r="S252" s="51">
        <f t="shared" si="116"/>
        <v>2</v>
      </c>
      <c r="T252" s="51">
        <f t="shared" si="117"/>
        <v>1.7058823529411764</v>
      </c>
      <c r="U252" s="4">
        <v>19</v>
      </c>
      <c r="V252" s="4">
        <v>35</v>
      </c>
      <c r="W252" s="61" t="s">
        <v>456</v>
      </c>
      <c r="X252" s="7">
        <f t="shared" si="95"/>
        <v>1</v>
      </c>
      <c r="Y252" s="4">
        <v>30</v>
      </c>
      <c r="Z252" s="8">
        <v>0.5</v>
      </c>
      <c r="AA252" s="4">
        <v>0.5</v>
      </c>
      <c r="AB252" s="68">
        <v>60</v>
      </c>
      <c r="AC252" s="4">
        <v>1100</v>
      </c>
      <c r="AD252" s="7">
        <f t="shared" si="96"/>
        <v>0.3</v>
      </c>
      <c r="AE252" s="21">
        <f t="shared" si="126"/>
        <v>218000</v>
      </c>
      <c r="AF252" s="68">
        <f>2*AJ252</f>
        <v>436</v>
      </c>
      <c r="AG252" s="41">
        <f t="shared" ref="AG252:AG272" si="128">AJ252/(E252*C252)*1000</f>
        <v>4.579831932773109</v>
      </c>
      <c r="AH252" s="45">
        <f t="shared" si="97"/>
        <v>0.77413288878494368</v>
      </c>
      <c r="AI252" s="45">
        <f t="shared" si="98"/>
        <v>1.4001036660455426</v>
      </c>
      <c r="AJ252" s="21">
        <v>218</v>
      </c>
      <c r="AK252" s="21">
        <f t="shared" si="99"/>
        <v>1.3125</v>
      </c>
      <c r="AL252" s="68">
        <f t="shared" si="127"/>
        <v>1.2534374999999998</v>
      </c>
      <c r="AM252" s="21">
        <f t="shared" si="118"/>
        <v>219.25343749999999</v>
      </c>
      <c r="AN252" s="41">
        <f t="shared" si="100"/>
        <v>4.6061646533613443</v>
      </c>
      <c r="AO252" s="41">
        <f t="shared" si="101"/>
        <v>0.77858393095368861</v>
      </c>
      <c r="AP252" s="41">
        <f t="shared" si="102"/>
        <v>1.4081538607194368</v>
      </c>
      <c r="AQ252" s="21">
        <f t="shared" si="103"/>
        <v>0.52263749999999976</v>
      </c>
      <c r="AR252" s="21">
        <f t="shared" si="104"/>
        <v>148.24</v>
      </c>
      <c r="AS252" s="21">
        <f t="shared" si="105"/>
        <v>148.76263750000001</v>
      </c>
      <c r="AT252" s="41">
        <f t="shared" si="106"/>
        <v>1.9955772374955223</v>
      </c>
    </row>
    <row r="253" spans="1:60" x14ac:dyDescent="0.25">
      <c r="A253">
        <v>1993</v>
      </c>
      <c r="B253">
        <v>3</v>
      </c>
      <c r="C253" s="8">
        <v>140</v>
      </c>
      <c r="D253" s="4">
        <v>375</v>
      </c>
      <c r="E253" s="8">
        <v>340</v>
      </c>
      <c r="F253" s="4">
        <f>G253+400</f>
        <v>2310</v>
      </c>
      <c r="G253" s="8">
        <v>1910</v>
      </c>
      <c r="H253" s="4">
        <v>100</v>
      </c>
      <c r="I253" s="4">
        <f t="shared" si="113"/>
        <v>140</v>
      </c>
      <c r="J253" s="4">
        <v>100</v>
      </c>
      <c r="K253" s="4">
        <f t="shared" si="114"/>
        <v>140</v>
      </c>
      <c r="L253" s="4">
        <v>680</v>
      </c>
      <c r="M253">
        <f t="shared" si="119"/>
        <v>580</v>
      </c>
      <c r="N253" s="4">
        <v>6</v>
      </c>
      <c r="O253" s="4">
        <v>13</v>
      </c>
      <c r="P253" s="21">
        <f t="shared" si="112"/>
        <v>796.39373768501252</v>
      </c>
      <c r="Q253" s="29">
        <f t="shared" si="121"/>
        <v>1.6730960875735557E-2</v>
      </c>
      <c r="R253" s="21">
        <v>460</v>
      </c>
      <c r="S253" s="41">
        <f t="shared" si="116"/>
        <v>2</v>
      </c>
      <c r="T253" s="41">
        <f t="shared" si="117"/>
        <v>1.7058823529411764</v>
      </c>
      <c r="U253" s="4">
        <v>19</v>
      </c>
      <c r="V253" s="4">
        <v>33</v>
      </c>
      <c r="W253" s="61" t="s">
        <v>456</v>
      </c>
      <c r="X253" s="7">
        <f t="shared" si="95"/>
        <v>1</v>
      </c>
      <c r="Y253" s="4">
        <v>30</v>
      </c>
      <c r="Z253" s="8">
        <v>0.75</v>
      </c>
      <c r="AA253" s="4">
        <v>0.5</v>
      </c>
      <c r="AB253" s="68">
        <v>60</v>
      </c>
      <c r="AC253" s="4">
        <v>1100</v>
      </c>
      <c r="AD253" s="7">
        <f t="shared" si="96"/>
        <v>0.45</v>
      </c>
      <c r="AE253" s="21">
        <f t="shared" si="126"/>
        <v>180900</v>
      </c>
      <c r="AF253" s="68">
        <f t="shared" ref="AF253:AF272" si="129">2*AJ253</f>
        <v>361.8</v>
      </c>
      <c r="AG253" s="41">
        <f t="shared" si="128"/>
        <v>3.8004201680672267</v>
      </c>
      <c r="AH253" s="45">
        <f t="shared" si="97"/>
        <v>0.66156823450390201</v>
      </c>
      <c r="AI253" s="45">
        <f t="shared" si="98"/>
        <v>1.1848416188493831</v>
      </c>
      <c r="AJ253" s="21">
        <v>180.9</v>
      </c>
      <c r="AK253" s="21">
        <f t="shared" si="99"/>
        <v>1.3125</v>
      </c>
      <c r="AL253" s="68">
        <f t="shared" si="127"/>
        <v>1.2534374999999998</v>
      </c>
      <c r="AM253" s="21">
        <f t="shared" si="118"/>
        <v>182.1534375</v>
      </c>
      <c r="AN253" s="41">
        <f t="shared" si="100"/>
        <v>3.826752888655462</v>
      </c>
      <c r="AO253" s="41">
        <f t="shared" si="101"/>
        <v>0.66615217277883843</v>
      </c>
      <c r="AP253" s="41">
        <f t="shared" si="102"/>
        <v>1.1930512646018792</v>
      </c>
      <c r="AQ253" s="21">
        <f t="shared" si="103"/>
        <v>0.52263749999999976</v>
      </c>
      <c r="AR253" s="21">
        <f t="shared" si="104"/>
        <v>123.012</v>
      </c>
      <c r="AS253" s="21">
        <f t="shared" si="105"/>
        <v>123.5346375</v>
      </c>
      <c r="AT253" s="41">
        <f t="shared" si="106"/>
        <v>1.9946764338040401</v>
      </c>
    </row>
    <row r="254" spans="1:60" x14ac:dyDescent="0.25">
      <c r="B254">
        <v>4</v>
      </c>
      <c r="C254" s="8">
        <v>140</v>
      </c>
      <c r="D254" s="4">
        <v>375</v>
      </c>
      <c r="E254" s="8">
        <v>340</v>
      </c>
      <c r="F254" s="4">
        <f>G254+400</f>
        <v>2310</v>
      </c>
      <c r="G254" s="8">
        <v>1910</v>
      </c>
      <c r="H254" s="4">
        <v>100</v>
      </c>
      <c r="I254" s="4">
        <f t="shared" si="113"/>
        <v>140</v>
      </c>
      <c r="J254" s="4">
        <v>100</v>
      </c>
      <c r="K254" s="4">
        <f t="shared" si="114"/>
        <v>140</v>
      </c>
      <c r="L254" s="4">
        <v>680</v>
      </c>
      <c r="M254">
        <f t="shared" si="119"/>
        <v>580</v>
      </c>
      <c r="N254" s="4">
        <v>6</v>
      </c>
      <c r="O254" s="4">
        <v>13</v>
      </c>
      <c r="P254" s="21">
        <f t="shared" si="112"/>
        <v>796.39373768501252</v>
      </c>
      <c r="Q254" s="29">
        <f t="shared" si="121"/>
        <v>1.6730960875735557E-2</v>
      </c>
      <c r="R254" s="21">
        <v>460</v>
      </c>
      <c r="S254" s="41">
        <f t="shared" si="116"/>
        <v>2</v>
      </c>
      <c r="T254" s="41">
        <f t="shared" si="117"/>
        <v>1.7058823529411764</v>
      </c>
      <c r="U254" s="4">
        <v>19</v>
      </c>
      <c r="V254" s="4">
        <v>36</v>
      </c>
      <c r="W254" s="61" t="s">
        <v>456</v>
      </c>
      <c r="X254" s="7">
        <f t="shared" si="95"/>
        <v>1</v>
      </c>
      <c r="Y254" s="4">
        <v>30</v>
      </c>
      <c r="Z254" s="8">
        <v>1</v>
      </c>
      <c r="AA254" s="4">
        <v>0.5</v>
      </c>
      <c r="AB254" s="68">
        <v>60</v>
      </c>
      <c r="AC254" s="4">
        <v>1100</v>
      </c>
      <c r="AD254" s="7">
        <f t="shared" si="96"/>
        <v>0.6</v>
      </c>
      <c r="AE254" s="21">
        <f t="shared" si="126"/>
        <v>210300</v>
      </c>
      <c r="AF254" s="68">
        <f t="shared" si="129"/>
        <v>420.6</v>
      </c>
      <c r="AG254" s="41">
        <f t="shared" si="128"/>
        <v>4.4180672268907566</v>
      </c>
      <c r="AH254" s="45">
        <f t="shared" si="97"/>
        <v>0.7363445378151261</v>
      </c>
      <c r="AI254" s="45">
        <f t="shared" si="98"/>
        <v>1.3380268230833299</v>
      </c>
      <c r="AJ254" s="21">
        <v>210.3</v>
      </c>
      <c r="AK254" s="21">
        <f t="shared" si="99"/>
        <v>1.3125</v>
      </c>
      <c r="AL254" s="68">
        <f t="shared" si="127"/>
        <v>1.2534374999999998</v>
      </c>
      <c r="AM254" s="21">
        <f t="shared" si="118"/>
        <v>211.5534375</v>
      </c>
      <c r="AN254" s="41">
        <f t="shared" si="100"/>
        <v>4.4443999474789919</v>
      </c>
      <c r="AO254" s="41">
        <f t="shared" si="101"/>
        <v>0.74073332457983199</v>
      </c>
      <c r="AP254" s="41">
        <f t="shared" si="102"/>
        <v>1.3460017778910263</v>
      </c>
      <c r="AQ254" s="21">
        <f t="shared" si="103"/>
        <v>0.52263749999999976</v>
      </c>
      <c r="AR254" s="21">
        <f t="shared" si="104"/>
        <v>143.00399999999999</v>
      </c>
      <c r="AS254" s="21">
        <f t="shared" si="105"/>
        <v>143.52663749999999</v>
      </c>
      <c r="AT254" s="41">
        <f t="shared" si="106"/>
        <v>1.99541626033681</v>
      </c>
    </row>
    <row r="255" spans="1:60" x14ac:dyDescent="0.25">
      <c r="B255">
        <v>5</v>
      </c>
      <c r="C255" s="8">
        <v>140</v>
      </c>
      <c r="D255" s="4">
        <v>375</v>
      </c>
      <c r="E255" s="8">
        <v>340</v>
      </c>
      <c r="F255" s="4">
        <f>G255+400</f>
        <v>2310</v>
      </c>
      <c r="G255" s="8">
        <v>1910</v>
      </c>
      <c r="H255" s="4">
        <v>100</v>
      </c>
      <c r="I255" s="4">
        <f t="shared" si="113"/>
        <v>140</v>
      </c>
      <c r="J255" s="4">
        <v>100</v>
      </c>
      <c r="K255" s="4">
        <f t="shared" si="114"/>
        <v>140</v>
      </c>
      <c r="L255">
        <f>2.5*E255</f>
        <v>850</v>
      </c>
      <c r="M255">
        <f t="shared" si="119"/>
        <v>750</v>
      </c>
      <c r="N255" s="4">
        <v>6</v>
      </c>
      <c r="O255" s="4">
        <v>13</v>
      </c>
      <c r="P255" s="21">
        <f t="shared" si="112"/>
        <v>796.39373768501252</v>
      </c>
      <c r="Q255" s="29">
        <f t="shared" si="121"/>
        <v>1.6730960875735557E-2</v>
      </c>
      <c r="R255" s="21">
        <v>460</v>
      </c>
      <c r="S255" s="41">
        <f t="shared" si="116"/>
        <v>2.5</v>
      </c>
      <c r="T255" s="41">
        <f t="shared" si="117"/>
        <v>2.2058823529411766</v>
      </c>
      <c r="U255" s="4">
        <v>19</v>
      </c>
      <c r="V255" s="4">
        <v>36</v>
      </c>
      <c r="W255" s="61" t="s">
        <v>456</v>
      </c>
      <c r="X255" s="7">
        <f t="shared" si="95"/>
        <v>1</v>
      </c>
      <c r="Y255" s="4">
        <v>30</v>
      </c>
      <c r="Z255" s="8">
        <v>1</v>
      </c>
      <c r="AA255" s="4">
        <v>0.5</v>
      </c>
      <c r="AB255" s="68">
        <v>60</v>
      </c>
      <c r="AC255" s="4">
        <v>1100</v>
      </c>
      <c r="AD255" s="7">
        <f t="shared" si="96"/>
        <v>0.6</v>
      </c>
      <c r="AE255" s="21">
        <f t="shared" si="126"/>
        <v>154200</v>
      </c>
      <c r="AF255" s="68">
        <f t="shared" si="129"/>
        <v>308.39999999999998</v>
      </c>
      <c r="AG255" s="41">
        <f t="shared" si="128"/>
        <v>3.2394957983193273</v>
      </c>
      <c r="AH255" s="45">
        <f t="shared" si="97"/>
        <v>0.53991596638655459</v>
      </c>
      <c r="AI255" s="45">
        <f t="shared" si="98"/>
        <v>0.9810924209198737</v>
      </c>
      <c r="AJ255" s="21">
        <v>154.19999999999999</v>
      </c>
      <c r="AK255" s="21">
        <f t="shared" si="99"/>
        <v>1.3125</v>
      </c>
      <c r="AL255" s="68">
        <f t="shared" si="127"/>
        <v>1.2534374999999998</v>
      </c>
      <c r="AM255" s="21">
        <f t="shared" si="118"/>
        <v>155.45343749999998</v>
      </c>
      <c r="AN255" s="41">
        <f t="shared" si="100"/>
        <v>3.2658285189075622</v>
      </c>
      <c r="AO255" s="41">
        <f t="shared" si="101"/>
        <v>0.54430475315126037</v>
      </c>
      <c r="AP255" s="41">
        <f t="shared" si="102"/>
        <v>0.98906737572756975</v>
      </c>
      <c r="AQ255" s="21">
        <f t="shared" si="103"/>
        <v>0.56503124999999998</v>
      </c>
      <c r="AR255" s="21">
        <f t="shared" si="104"/>
        <v>131.07</v>
      </c>
      <c r="AS255" s="21">
        <f t="shared" si="105"/>
        <v>131.63503125</v>
      </c>
      <c r="AT255" s="41">
        <f t="shared" si="106"/>
        <v>2.4905326176376583</v>
      </c>
    </row>
    <row r="256" spans="1:60" x14ac:dyDescent="0.25">
      <c r="A256" s="1"/>
      <c r="B256" s="1">
        <v>6</v>
      </c>
      <c r="C256" s="9">
        <v>140</v>
      </c>
      <c r="D256" s="10">
        <v>375</v>
      </c>
      <c r="E256" s="9">
        <v>340</v>
      </c>
      <c r="F256" s="10">
        <f>G256+400</f>
        <v>2310</v>
      </c>
      <c r="G256" s="9">
        <v>1910</v>
      </c>
      <c r="H256" s="10">
        <v>100</v>
      </c>
      <c r="I256" s="10">
        <f t="shared" si="113"/>
        <v>140</v>
      </c>
      <c r="J256" s="10">
        <v>100</v>
      </c>
      <c r="K256" s="10">
        <f t="shared" si="114"/>
        <v>140</v>
      </c>
      <c r="L256" s="1">
        <f>1.5*E256</f>
        <v>510</v>
      </c>
      <c r="M256" s="1">
        <f t="shared" si="119"/>
        <v>410</v>
      </c>
      <c r="N256" s="10">
        <v>6</v>
      </c>
      <c r="O256" s="10">
        <v>13</v>
      </c>
      <c r="P256" s="27">
        <f t="shared" si="112"/>
        <v>796.39373768501252</v>
      </c>
      <c r="Q256" s="36">
        <f t="shared" si="121"/>
        <v>1.6730960875735557E-2</v>
      </c>
      <c r="R256" s="27">
        <v>460</v>
      </c>
      <c r="S256" s="48">
        <f t="shared" si="116"/>
        <v>1.5</v>
      </c>
      <c r="T256" s="48">
        <f t="shared" si="117"/>
        <v>1.2058823529411764</v>
      </c>
      <c r="U256" s="10">
        <v>19</v>
      </c>
      <c r="V256" s="10">
        <v>36</v>
      </c>
      <c r="W256" s="62" t="s">
        <v>456</v>
      </c>
      <c r="X256" s="7">
        <f t="shared" si="95"/>
        <v>1</v>
      </c>
      <c r="Y256" s="10">
        <v>30</v>
      </c>
      <c r="Z256" s="1">
        <v>1</v>
      </c>
      <c r="AA256" s="10">
        <v>0.5</v>
      </c>
      <c r="AB256" s="69">
        <v>60</v>
      </c>
      <c r="AC256" s="10">
        <v>1100</v>
      </c>
      <c r="AD256" s="7">
        <f t="shared" si="96"/>
        <v>0.6</v>
      </c>
      <c r="AE256" s="27">
        <f t="shared" si="126"/>
        <v>307000</v>
      </c>
      <c r="AF256" s="69">
        <f t="shared" si="129"/>
        <v>614</v>
      </c>
      <c r="AG256" s="48">
        <f t="shared" si="128"/>
        <v>6.4495798319327733</v>
      </c>
      <c r="AH256" s="45">
        <f t="shared" si="97"/>
        <v>1.0749299719887955</v>
      </c>
      <c r="AI256" s="45">
        <f t="shared" si="98"/>
        <v>1.9532773879533156</v>
      </c>
      <c r="AJ256" s="27">
        <v>307</v>
      </c>
      <c r="AK256" s="21">
        <f t="shared" si="99"/>
        <v>1.3125</v>
      </c>
      <c r="AL256" s="69">
        <f t="shared" si="127"/>
        <v>1.2534374999999998</v>
      </c>
      <c r="AM256" s="27">
        <f t="shared" si="118"/>
        <v>308.25343750000002</v>
      </c>
      <c r="AN256" s="41">
        <f t="shared" si="100"/>
        <v>6.4759125525210086</v>
      </c>
      <c r="AO256" s="41">
        <f t="shared" si="101"/>
        <v>1.0793187587535014</v>
      </c>
      <c r="AP256" s="41">
        <f t="shared" si="102"/>
        <v>1.9612523427610118</v>
      </c>
      <c r="AQ256" s="21">
        <f t="shared" si="103"/>
        <v>0.44231249999999994</v>
      </c>
      <c r="AR256" s="21">
        <f t="shared" si="104"/>
        <v>156.57</v>
      </c>
      <c r="AS256" s="21">
        <f t="shared" si="105"/>
        <v>157.01231250000001</v>
      </c>
      <c r="AT256" s="41">
        <f t="shared" si="106"/>
        <v>1.4981209061704204</v>
      </c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</row>
    <row r="257" spans="1:60" x14ac:dyDescent="0.25">
      <c r="A257" t="s">
        <v>29</v>
      </c>
      <c r="B257" t="s">
        <v>273</v>
      </c>
      <c r="C257" s="8">
        <v>150</v>
      </c>
      <c r="D257" s="4">
        <v>400</v>
      </c>
      <c r="E257" s="8">
        <v>350</v>
      </c>
      <c r="F257" s="4">
        <v>2400</v>
      </c>
      <c r="G257" s="8">
        <v>2000</v>
      </c>
      <c r="H257" s="4">
        <v>100</v>
      </c>
      <c r="I257" s="4">
        <f t="shared" si="113"/>
        <v>150</v>
      </c>
      <c r="J257" s="4">
        <v>100</v>
      </c>
      <c r="K257" s="4">
        <f t="shared" si="114"/>
        <v>150</v>
      </c>
      <c r="L257" s="4">
        <v>1000</v>
      </c>
      <c r="M257">
        <f t="shared" si="119"/>
        <v>900</v>
      </c>
      <c r="N257" s="4">
        <v>2</v>
      </c>
      <c r="O257" s="4">
        <v>25</v>
      </c>
      <c r="P257" s="21">
        <f t="shared" si="112"/>
        <v>981.74770424681037</v>
      </c>
      <c r="Q257" s="29">
        <f>P257/(50*E257)</f>
        <v>5.6099868814103448E-2</v>
      </c>
      <c r="R257" s="21">
        <v>535</v>
      </c>
      <c r="S257" s="41">
        <f t="shared" si="116"/>
        <v>2.8571428571428572</v>
      </c>
      <c r="T257" s="41">
        <f t="shared" si="117"/>
        <v>2.5714285714285716</v>
      </c>
      <c r="U257" s="4">
        <v>2</v>
      </c>
      <c r="V257">
        <f>0.82*147.69</f>
        <v>121.10579999999999</v>
      </c>
      <c r="W257" s="61" t="s">
        <v>456</v>
      </c>
      <c r="X257" s="7">
        <f t="shared" si="95"/>
        <v>1</v>
      </c>
      <c r="Y257" s="4">
        <v>13</v>
      </c>
      <c r="Z257" s="8">
        <v>0.8</v>
      </c>
      <c r="AA257" s="4">
        <v>0.2</v>
      </c>
      <c r="AB257" s="21">
        <f>Y257/AA257</f>
        <v>65</v>
      </c>
      <c r="AC257" s="4">
        <v>2000</v>
      </c>
      <c r="AD257" s="7">
        <f t="shared" si="96"/>
        <v>0.52</v>
      </c>
      <c r="AE257" s="68">
        <f t="shared" si="126"/>
        <v>340000</v>
      </c>
      <c r="AF257" s="68">
        <f t="shared" si="129"/>
        <v>680</v>
      </c>
      <c r="AG257" s="49">
        <f t="shared" si="128"/>
        <v>6.4761904761904763</v>
      </c>
      <c r="AH257" s="45">
        <f t="shared" si="97"/>
        <v>0.58848736412097491</v>
      </c>
      <c r="AI257" s="45">
        <f t="shared" si="98"/>
        <v>1.3089748410611619</v>
      </c>
      <c r="AJ257" s="68">
        <v>340</v>
      </c>
      <c r="AK257" s="21">
        <f t="shared" si="99"/>
        <v>1.5</v>
      </c>
      <c r="AL257" s="70">
        <f t="shared" si="127"/>
        <v>1.5</v>
      </c>
      <c r="AM257" s="73">
        <f t="shared" si="118"/>
        <v>341.5</v>
      </c>
      <c r="AN257" s="41">
        <f t="shared" si="100"/>
        <v>6.5047619047619047</v>
      </c>
      <c r="AO257" s="41">
        <f t="shared" si="101"/>
        <v>0.59108363190386148</v>
      </c>
      <c r="AP257" s="41">
        <f t="shared" si="102"/>
        <v>1.3147497300658435</v>
      </c>
      <c r="AQ257" s="21">
        <f t="shared" si="103"/>
        <v>0.72</v>
      </c>
      <c r="AR257" s="21">
        <f t="shared" si="104"/>
        <v>340</v>
      </c>
      <c r="AS257" s="21">
        <f t="shared" si="105"/>
        <v>340.72</v>
      </c>
      <c r="AT257" s="41">
        <f t="shared" si="106"/>
        <v>2.8506170257268355</v>
      </c>
      <c r="AZ257" s="4"/>
    </row>
    <row r="258" spans="1:60" x14ac:dyDescent="0.25">
      <c r="A258" s="1">
        <v>2017</v>
      </c>
      <c r="B258" s="1" t="s">
        <v>274</v>
      </c>
      <c r="C258" s="9">
        <v>150</v>
      </c>
      <c r="D258" s="10">
        <v>400</v>
      </c>
      <c r="E258" s="9">
        <v>350</v>
      </c>
      <c r="F258" s="10">
        <v>2400</v>
      </c>
      <c r="G258" s="9">
        <v>2000</v>
      </c>
      <c r="H258" s="10">
        <v>100</v>
      </c>
      <c r="I258" s="10">
        <f t="shared" si="113"/>
        <v>150</v>
      </c>
      <c r="J258" s="10">
        <v>100</v>
      </c>
      <c r="K258" s="10">
        <f t="shared" si="114"/>
        <v>150</v>
      </c>
      <c r="L258" s="10">
        <v>1000</v>
      </c>
      <c r="M258" s="1">
        <f t="shared" si="119"/>
        <v>900</v>
      </c>
      <c r="N258" s="10">
        <v>2</v>
      </c>
      <c r="O258" s="10">
        <v>25</v>
      </c>
      <c r="P258" s="27">
        <f t="shared" si="112"/>
        <v>981.74770424681037</v>
      </c>
      <c r="Q258" s="36">
        <f>P258/(50*E258)</f>
        <v>5.6099868814103448E-2</v>
      </c>
      <c r="R258" s="27">
        <v>535</v>
      </c>
      <c r="S258" s="48">
        <f t="shared" si="116"/>
        <v>2.8571428571428572</v>
      </c>
      <c r="T258" s="48">
        <f t="shared" si="117"/>
        <v>2.5714285714285716</v>
      </c>
      <c r="U258" s="10">
        <v>2</v>
      </c>
      <c r="V258" s="1">
        <f>0.82*146.71</f>
        <v>120.3022</v>
      </c>
      <c r="W258" s="62" t="s">
        <v>456</v>
      </c>
      <c r="X258" s="7">
        <f t="shared" si="95"/>
        <v>1</v>
      </c>
      <c r="Y258" s="10">
        <v>13</v>
      </c>
      <c r="Z258" s="9">
        <v>1.6</v>
      </c>
      <c r="AA258" s="10">
        <v>0.2</v>
      </c>
      <c r="AB258" s="27">
        <f>Y258/AA258</f>
        <v>65</v>
      </c>
      <c r="AC258" s="10">
        <v>2000</v>
      </c>
      <c r="AD258" s="7">
        <f t="shared" si="96"/>
        <v>1.04</v>
      </c>
      <c r="AE258" s="69">
        <f t="shared" si="126"/>
        <v>531000</v>
      </c>
      <c r="AF258" s="69">
        <f t="shared" si="129"/>
        <v>1062</v>
      </c>
      <c r="AG258" s="50">
        <f t="shared" si="128"/>
        <v>10.114285714285714</v>
      </c>
      <c r="AH258" s="45">
        <f t="shared" si="97"/>
        <v>0.92214333775204627</v>
      </c>
      <c r="AI258" s="45">
        <f t="shared" si="98"/>
        <v>2.048852502399134</v>
      </c>
      <c r="AJ258" s="69">
        <v>531</v>
      </c>
      <c r="AK258" s="21">
        <f t="shared" si="99"/>
        <v>1.5</v>
      </c>
      <c r="AL258" s="69">
        <f t="shared" si="127"/>
        <v>1.5</v>
      </c>
      <c r="AM258" s="27">
        <f t="shared" si="118"/>
        <v>532.5</v>
      </c>
      <c r="AN258" s="41">
        <f t="shared" si="100"/>
        <v>10.142857142857142</v>
      </c>
      <c r="AO258" s="41">
        <f t="shared" si="101"/>
        <v>0.92474826243496167</v>
      </c>
      <c r="AP258" s="41">
        <f t="shared" si="102"/>
        <v>2.0546402213324648</v>
      </c>
      <c r="AQ258" s="21">
        <f t="shared" si="103"/>
        <v>0.72</v>
      </c>
      <c r="AR258" s="21">
        <f t="shared" si="104"/>
        <v>531</v>
      </c>
      <c r="AS258" s="21">
        <f t="shared" si="105"/>
        <v>531.72</v>
      </c>
      <c r="AT258" s="41">
        <f t="shared" si="106"/>
        <v>2.8529577464788733</v>
      </c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</row>
    <row r="259" spans="1:60" x14ac:dyDescent="0.25">
      <c r="A259" t="s">
        <v>30</v>
      </c>
      <c r="B259" t="s">
        <v>275</v>
      </c>
      <c r="C259" s="8">
        <v>260</v>
      </c>
      <c r="D259" s="4">
        <v>400</v>
      </c>
      <c r="E259" s="8">
        <v>340</v>
      </c>
      <c r="F259" s="4">
        <v>4020</v>
      </c>
      <c r="G259" s="8">
        <v>3120</v>
      </c>
      <c r="H259" s="4">
        <v>100</v>
      </c>
      <c r="I259" s="4">
        <f t="shared" si="113"/>
        <v>260</v>
      </c>
      <c r="J259" s="4">
        <v>100</v>
      </c>
      <c r="K259" s="4">
        <f t="shared" si="114"/>
        <v>260</v>
      </c>
      <c r="L259" s="4">
        <v>1360</v>
      </c>
      <c r="M259" s="4">
        <f t="shared" si="119"/>
        <v>1260</v>
      </c>
      <c r="N259" s="4">
        <v>3</v>
      </c>
      <c r="O259" s="4">
        <v>25.4</v>
      </c>
      <c r="P259" s="21">
        <f t="shared" si="112"/>
        <v>1520.122437292493</v>
      </c>
      <c r="Q259" s="29">
        <f>P259/(C259*E259)</f>
        <v>1.7195955172992002E-2</v>
      </c>
      <c r="R259" s="21">
        <v>555</v>
      </c>
      <c r="S259" s="49">
        <f t="shared" si="116"/>
        <v>4</v>
      </c>
      <c r="T259" s="49">
        <f t="shared" si="117"/>
        <v>3.7058823529411766</v>
      </c>
      <c r="U259" s="4">
        <v>10</v>
      </c>
      <c r="V259" s="4">
        <v>21</v>
      </c>
      <c r="W259" s="61" t="s">
        <v>456</v>
      </c>
      <c r="X259" s="7">
        <f t="shared" si="95"/>
        <v>1</v>
      </c>
      <c r="Y259" s="4">
        <v>30</v>
      </c>
      <c r="Z259" s="8">
        <v>0.75</v>
      </c>
      <c r="AA259" s="4">
        <v>0.5</v>
      </c>
      <c r="AB259" s="68">
        <v>60</v>
      </c>
      <c r="AC259" s="4">
        <v>1336</v>
      </c>
      <c r="AD259" s="7">
        <f t="shared" si="96"/>
        <v>0.45</v>
      </c>
      <c r="AE259" s="68">
        <f t="shared" si="126"/>
        <v>114000</v>
      </c>
      <c r="AF259" s="68">
        <f t="shared" si="129"/>
        <v>228</v>
      </c>
      <c r="AG259" s="49">
        <f t="shared" si="128"/>
        <v>1.2895927601809953</v>
      </c>
      <c r="AH259" s="45">
        <f t="shared" si="97"/>
        <v>0.28141221139030692</v>
      </c>
      <c r="AI259" s="45">
        <f t="shared" si="98"/>
        <v>0.46742595219581329</v>
      </c>
      <c r="AJ259" s="68">
        <v>114</v>
      </c>
      <c r="AK259" s="21">
        <f t="shared" si="99"/>
        <v>2.6</v>
      </c>
      <c r="AL259" s="68">
        <f t="shared" si="127"/>
        <v>4.0560000000000009</v>
      </c>
      <c r="AM259" s="68">
        <f t="shared" si="118"/>
        <v>118.056</v>
      </c>
      <c r="AN259" s="41">
        <f t="shared" si="100"/>
        <v>1.335475113122172</v>
      </c>
      <c r="AO259" s="41">
        <f t="shared" si="101"/>
        <v>0.29142456164819364</v>
      </c>
      <c r="AP259" s="41">
        <f t="shared" si="102"/>
        <v>0.48405647554762232</v>
      </c>
      <c r="AQ259" s="21">
        <f t="shared" si="103"/>
        <v>2.8484299999999996</v>
      </c>
      <c r="AR259" s="21">
        <f t="shared" si="104"/>
        <v>155.04</v>
      </c>
      <c r="AS259" s="21">
        <f t="shared" si="105"/>
        <v>157.88843</v>
      </c>
      <c r="AT259" s="41">
        <f t="shared" si="106"/>
        <v>3.9335377727020875</v>
      </c>
    </row>
    <row r="260" spans="1:60" x14ac:dyDescent="0.25">
      <c r="A260" s="1">
        <v>2017</v>
      </c>
      <c r="B260" s="1" t="s">
        <v>276</v>
      </c>
      <c r="C260" s="9">
        <v>260</v>
      </c>
      <c r="D260" s="10">
        <v>400</v>
      </c>
      <c r="E260" s="9">
        <v>340</v>
      </c>
      <c r="F260" s="10">
        <v>4020</v>
      </c>
      <c r="G260" s="9">
        <v>3120</v>
      </c>
      <c r="H260" s="10">
        <v>100</v>
      </c>
      <c r="I260" s="10">
        <f t="shared" si="113"/>
        <v>260</v>
      </c>
      <c r="J260" s="10">
        <v>100</v>
      </c>
      <c r="K260" s="10">
        <f t="shared" si="114"/>
        <v>260</v>
      </c>
      <c r="L260" s="10">
        <v>1360</v>
      </c>
      <c r="M260" s="10">
        <f t="shared" si="119"/>
        <v>1260</v>
      </c>
      <c r="N260" s="10">
        <v>3</v>
      </c>
      <c r="O260" s="10">
        <v>25.4</v>
      </c>
      <c r="P260" s="27">
        <f t="shared" si="112"/>
        <v>1520.122437292493</v>
      </c>
      <c r="Q260" s="36">
        <f>P260/(C260*E260)</f>
        <v>1.7195955172992002E-2</v>
      </c>
      <c r="R260" s="27">
        <v>555</v>
      </c>
      <c r="S260" s="50">
        <f t="shared" si="116"/>
        <v>4</v>
      </c>
      <c r="T260" s="50">
        <f t="shared" si="117"/>
        <v>3.7058823529411766</v>
      </c>
      <c r="U260" s="10">
        <v>10</v>
      </c>
      <c r="V260" s="10">
        <v>56</v>
      </c>
      <c r="W260" s="62" t="s">
        <v>456</v>
      </c>
      <c r="X260" s="7">
        <f t="shared" si="95"/>
        <v>1</v>
      </c>
      <c r="Y260" s="10">
        <v>30</v>
      </c>
      <c r="Z260" s="9">
        <v>0.75</v>
      </c>
      <c r="AA260" s="10">
        <v>0.5</v>
      </c>
      <c r="AB260" s="69">
        <v>60</v>
      </c>
      <c r="AC260" s="10">
        <v>1336</v>
      </c>
      <c r="AD260" s="7">
        <f t="shared" si="96"/>
        <v>0.45</v>
      </c>
      <c r="AE260" s="69">
        <f t="shared" si="126"/>
        <v>204000</v>
      </c>
      <c r="AF260" s="69">
        <f t="shared" si="129"/>
        <v>408</v>
      </c>
      <c r="AG260" s="50">
        <f t="shared" si="128"/>
        <v>2.3076923076923079</v>
      </c>
      <c r="AH260" s="45">
        <f t="shared" si="97"/>
        <v>0.3083783560527974</v>
      </c>
      <c r="AI260" s="45">
        <f t="shared" si="98"/>
        <v>0.6031822598938964</v>
      </c>
      <c r="AJ260" s="69">
        <v>204</v>
      </c>
      <c r="AK260" s="21">
        <f t="shared" si="99"/>
        <v>2.6</v>
      </c>
      <c r="AL260" s="69">
        <f t="shared" si="127"/>
        <v>4.0560000000000009</v>
      </c>
      <c r="AM260" s="69">
        <f t="shared" si="118"/>
        <v>208.05600000000001</v>
      </c>
      <c r="AN260" s="41">
        <f t="shared" si="100"/>
        <v>2.353574660633484</v>
      </c>
      <c r="AO260" s="41">
        <f t="shared" si="101"/>
        <v>0.31450964336725884</v>
      </c>
      <c r="AP260" s="41">
        <f t="shared" si="102"/>
        <v>0.61517494247296323</v>
      </c>
      <c r="AQ260" s="21">
        <f t="shared" si="103"/>
        <v>2.8484299999999996</v>
      </c>
      <c r="AR260" s="21">
        <f t="shared" si="104"/>
        <v>277.44</v>
      </c>
      <c r="AS260" s="21">
        <f t="shared" si="105"/>
        <v>280.28843000000001</v>
      </c>
      <c r="AT260" s="41">
        <f t="shared" si="106"/>
        <v>3.9622877268337255</v>
      </c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</row>
    <row r="261" spans="1:60" x14ac:dyDescent="0.25">
      <c r="A261" s="3" t="s">
        <v>31</v>
      </c>
      <c r="B261" s="14" t="s">
        <v>277</v>
      </c>
      <c r="C261" s="18">
        <v>150</v>
      </c>
      <c r="D261" s="14">
        <v>300</v>
      </c>
      <c r="E261" s="18">
        <v>276</v>
      </c>
      <c r="F261" s="14">
        <v>1900</v>
      </c>
      <c r="G261" s="18">
        <v>1600</v>
      </c>
      <c r="H261" s="14">
        <v>10</v>
      </c>
      <c r="I261" s="14">
        <f t="shared" si="113"/>
        <v>150</v>
      </c>
      <c r="J261" s="14">
        <v>10</v>
      </c>
      <c r="K261" s="14">
        <f t="shared" si="114"/>
        <v>150</v>
      </c>
      <c r="L261" s="14">
        <v>500</v>
      </c>
      <c r="M261" s="14">
        <f t="shared" si="119"/>
        <v>490</v>
      </c>
      <c r="N261" s="14">
        <v>3</v>
      </c>
      <c r="O261" s="14">
        <v>16</v>
      </c>
      <c r="P261" s="28">
        <f t="shared" si="112"/>
        <v>603.18578948924028</v>
      </c>
      <c r="Q261" s="37">
        <f>P261/(C261*E261)</f>
        <v>1.4569705060126576E-2</v>
      </c>
      <c r="R261" s="28">
        <v>420</v>
      </c>
      <c r="S261" s="52">
        <f t="shared" si="116"/>
        <v>1.8115942028985508</v>
      </c>
      <c r="T261" s="52">
        <f t="shared" si="117"/>
        <v>1.7753623188405796</v>
      </c>
      <c r="U261" s="14">
        <v>10</v>
      </c>
      <c r="V261" s="14">
        <v>48.6</v>
      </c>
      <c r="W261" s="63" t="s">
        <v>456</v>
      </c>
      <c r="X261" s="7">
        <f t="shared" ref="X261:X322" si="130">IF(W261="hooked",1,IF(W261="crimped",0.75,IF(W261="straight",0.5,"check")))</f>
        <v>1</v>
      </c>
      <c r="Y261" s="14">
        <v>50</v>
      </c>
      <c r="Z261" s="18">
        <v>0.96</v>
      </c>
      <c r="AA261" s="14">
        <v>0.6</v>
      </c>
      <c r="AB261" s="28">
        <v>85</v>
      </c>
      <c r="AC261" s="14">
        <v>1100</v>
      </c>
      <c r="AD261" s="7">
        <f t="shared" ref="AD261:AD324" si="131">AB261*Z261/100*X261</f>
        <v>0.81599999999999995</v>
      </c>
      <c r="AE261" s="71">
        <f t="shared" si="126"/>
        <v>122600</v>
      </c>
      <c r="AF261" s="71">
        <f t="shared" si="129"/>
        <v>245.2</v>
      </c>
      <c r="AG261" s="52">
        <f t="shared" si="128"/>
        <v>2.9613526570048307</v>
      </c>
      <c r="AH261" s="45">
        <f t="shared" ref="AH261:AH324" si="132">AG261/SQRT(V261)</f>
        <v>0.42478776010469604</v>
      </c>
      <c r="AI261" s="45">
        <f t="shared" ref="AI261:AI324" si="133">AG261/(V261^(1/3))</f>
        <v>0.81148040878399263</v>
      </c>
      <c r="AJ261" s="71">
        <v>122.6</v>
      </c>
      <c r="AK261" s="21">
        <f t="shared" ref="AK261:AK324" si="134">25*C261/1000*D261/1000</f>
        <v>1.125</v>
      </c>
      <c r="AL261" s="71">
        <f t="shared" si="127"/>
        <v>0.90000000000000036</v>
      </c>
      <c r="AM261" s="71">
        <f t="shared" si="118"/>
        <v>123.5</v>
      </c>
      <c r="AN261" s="41">
        <f t="shared" ref="AN261:AN324" si="135">AM261*1000/(C261*E261)</f>
        <v>2.9830917874396135</v>
      </c>
      <c r="AO261" s="41">
        <f t="shared" ref="AO261:AO324" si="136">AN261/SQRT(V261)</f>
        <v>0.42790610418376807</v>
      </c>
      <c r="AP261" s="41">
        <f t="shared" ref="AP261:AP324" si="137">AN261/(V261^(1/3))</f>
        <v>0.81743744277995989</v>
      </c>
      <c r="AQ261" s="21">
        <f t="shared" ref="AQ261:AQ324" si="138">-AK261/2*((F261-G261)/2000+L261/1000)^2+1/2*AK261*F261/1000*L261/1000</f>
        <v>0.29671875000000003</v>
      </c>
      <c r="AR261" s="21">
        <f t="shared" ref="AR261:AR324" si="139">AJ261*L261/1000</f>
        <v>61.3</v>
      </c>
      <c r="AS261" s="21">
        <f t="shared" ref="AS261:AS324" si="140">AQ261+AR261</f>
        <v>61.596718749999994</v>
      </c>
      <c r="AT261" s="41">
        <f t="shared" ref="AT261:AT324" si="141">AS261/(AM261*E261/1000)</f>
        <v>1.807097305345303</v>
      </c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</row>
    <row r="262" spans="1:60" x14ac:dyDescent="0.25">
      <c r="A262" s="4" t="s">
        <v>11</v>
      </c>
      <c r="B262" s="4" t="s">
        <v>278</v>
      </c>
      <c r="C262" s="8">
        <v>100</v>
      </c>
      <c r="D262" s="4">
        <v>400</v>
      </c>
      <c r="E262" s="8">
        <v>345</v>
      </c>
      <c r="F262" s="4">
        <v>1090</v>
      </c>
      <c r="G262" s="8">
        <v>1000</v>
      </c>
      <c r="H262" s="4">
        <v>90</v>
      </c>
      <c r="I262" s="4">
        <f t="shared" si="113"/>
        <v>100</v>
      </c>
      <c r="J262" s="4">
        <v>90</v>
      </c>
      <c r="K262" s="4">
        <f t="shared" si="114"/>
        <v>100</v>
      </c>
      <c r="L262" s="4">
        <v>240</v>
      </c>
      <c r="M262" s="4">
        <f t="shared" si="119"/>
        <v>150</v>
      </c>
      <c r="N262" s="4">
        <v>4</v>
      </c>
      <c r="O262" s="4">
        <v>19.75</v>
      </c>
      <c r="P262" s="21">
        <f t="shared" si="112"/>
        <v>1225.4174844408687</v>
      </c>
      <c r="Q262" s="29">
        <f t="shared" ref="Q262:Q325" si="142">P262/(C262*E262)</f>
        <v>3.5519347375097647E-2</v>
      </c>
      <c r="R262" s="21">
        <v>550</v>
      </c>
      <c r="S262" s="49">
        <f t="shared" si="116"/>
        <v>0.69565217391304346</v>
      </c>
      <c r="T262" s="49">
        <f t="shared" si="117"/>
        <v>0.43478260869565216</v>
      </c>
      <c r="U262" s="4">
        <v>5</v>
      </c>
      <c r="V262">
        <f>0.82*64.5</f>
        <v>52.889999999999993</v>
      </c>
      <c r="W262" s="61" t="s">
        <v>457</v>
      </c>
      <c r="X262" s="7">
        <f t="shared" si="130"/>
        <v>0.75</v>
      </c>
      <c r="Y262" s="4">
        <v>30</v>
      </c>
      <c r="Z262" s="8">
        <v>0.25</v>
      </c>
      <c r="AA262" s="4">
        <v>0.3</v>
      </c>
      <c r="AB262" s="68">
        <v>100</v>
      </c>
      <c r="AC262" s="4">
        <v>2000</v>
      </c>
      <c r="AD262" s="7">
        <f t="shared" si="131"/>
        <v>0.1875</v>
      </c>
      <c r="AE262" s="68">
        <f t="shared" si="126"/>
        <v>350000</v>
      </c>
      <c r="AF262" s="68">
        <f t="shared" si="129"/>
        <v>700</v>
      </c>
      <c r="AG262" s="49">
        <f t="shared" si="128"/>
        <v>10.144927536231883</v>
      </c>
      <c r="AH262" s="45">
        <f t="shared" si="132"/>
        <v>1.3949613208604894</v>
      </c>
      <c r="AI262" s="45">
        <f t="shared" si="133"/>
        <v>2.7026580059812595</v>
      </c>
      <c r="AJ262" s="68">
        <v>350</v>
      </c>
      <c r="AK262" s="21">
        <f t="shared" si="134"/>
        <v>1</v>
      </c>
      <c r="AL262" s="68">
        <f t="shared" si="127"/>
        <v>0.5</v>
      </c>
      <c r="AM262" s="68">
        <f t="shared" si="118"/>
        <v>350.5</v>
      </c>
      <c r="AN262" s="41">
        <f t="shared" si="135"/>
        <v>10.159420289855072</v>
      </c>
      <c r="AO262" s="41">
        <f t="shared" si="136"/>
        <v>1.3969541227474331</v>
      </c>
      <c r="AP262" s="41">
        <f t="shared" si="137"/>
        <v>2.7065189459898047</v>
      </c>
      <c r="AQ262" s="21">
        <f t="shared" si="138"/>
        <v>9.0187500000000004E-2</v>
      </c>
      <c r="AR262" s="21">
        <f t="shared" si="139"/>
        <v>84</v>
      </c>
      <c r="AS262" s="21">
        <f t="shared" si="140"/>
        <v>84.090187499999999</v>
      </c>
      <c r="AT262" s="41">
        <f t="shared" si="141"/>
        <v>0.69540563170625813</v>
      </c>
    </row>
    <row r="263" spans="1:60" x14ac:dyDescent="0.25">
      <c r="A263">
        <v>1988</v>
      </c>
      <c r="B263" s="4" t="s">
        <v>279</v>
      </c>
      <c r="C263" s="8">
        <v>100</v>
      </c>
      <c r="D263" s="4">
        <v>400</v>
      </c>
      <c r="E263" s="8">
        <v>345</v>
      </c>
      <c r="F263" s="4">
        <v>1090</v>
      </c>
      <c r="G263" s="8">
        <v>1000</v>
      </c>
      <c r="H263" s="4">
        <v>90</v>
      </c>
      <c r="I263" s="4">
        <f t="shared" si="113"/>
        <v>100</v>
      </c>
      <c r="J263" s="4">
        <v>90</v>
      </c>
      <c r="K263" s="4">
        <f t="shared" si="114"/>
        <v>100</v>
      </c>
      <c r="L263" s="4">
        <v>240</v>
      </c>
      <c r="M263" s="4">
        <f t="shared" si="119"/>
        <v>150</v>
      </c>
      <c r="N263" s="4">
        <v>4</v>
      </c>
      <c r="O263" s="4">
        <v>19.75</v>
      </c>
      <c r="P263" s="21">
        <f t="shared" si="112"/>
        <v>1225.4174844408687</v>
      </c>
      <c r="Q263" s="29">
        <f t="shared" si="142"/>
        <v>3.5519347375097647E-2</v>
      </c>
      <c r="R263" s="21">
        <v>550</v>
      </c>
      <c r="S263" s="49">
        <f t="shared" si="116"/>
        <v>0.69565217391304346</v>
      </c>
      <c r="T263" s="49">
        <f t="shared" si="117"/>
        <v>0.43478260869565216</v>
      </c>
      <c r="U263" s="4">
        <v>5</v>
      </c>
      <c r="V263">
        <f>0.82*62.2</f>
        <v>51.003999999999998</v>
      </c>
      <c r="W263" s="61" t="s">
        <v>457</v>
      </c>
      <c r="X263" s="7">
        <f t="shared" si="130"/>
        <v>0.75</v>
      </c>
      <c r="Y263" s="4">
        <v>30</v>
      </c>
      <c r="Z263" s="8">
        <v>0.5</v>
      </c>
      <c r="AA263" s="4">
        <v>0.3</v>
      </c>
      <c r="AB263" s="68">
        <v>100</v>
      </c>
      <c r="AC263" s="4">
        <v>2000</v>
      </c>
      <c r="AD263" s="7">
        <f t="shared" si="131"/>
        <v>0.375</v>
      </c>
      <c r="AE263" s="68">
        <f t="shared" si="126"/>
        <v>325000</v>
      </c>
      <c r="AF263" s="68">
        <f t="shared" si="129"/>
        <v>650</v>
      </c>
      <c r="AG263" s="49">
        <f t="shared" si="128"/>
        <v>9.4202898550724647</v>
      </c>
      <c r="AH263" s="45">
        <f t="shared" si="132"/>
        <v>1.3190527004402539</v>
      </c>
      <c r="AI263" s="45">
        <f t="shared" si="133"/>
        <v>2.5401704149639226</v>
      </c>
      <c r="AJ263" s="68">
        <v>325</v>
      </c>
      <c r="AK263" s="21">
        <f t="shared" si="134"/>
        <v>1</v>
      </c>
      <c r="AL263" s="68">
        <f t="shared" si="127"/>
        <v>0.5</v>
      </c>
      <c r="AM263" s="68">
        <f t="shared" si="118"/>
        <v>325.5</v>
      </c>
      <c r="AN263" s="41">
        <f t="shared" si="135"/>
        <v>9.4347826086956523</v>
      </c>
      <c r="AO263" s="41">
        <f t="shared" si="136"/>
        <v>1.321082012287085</v>
      </c>
      <c r="AP263" s="41">
        <f t="shared" si="137"/>
        <v>2.5440783694484823</v>
      </c>
      <c r="AQ263" s="21">
        <f t="shared" si="138"/>
        <v>9.0187500000000004E-2</v>
      </c>
      <c r="AR263" s="21">
        <f t="shared" si="139"/>
        <v>78</v>
      </c>
      <c r="AS263" s="21">
        <f t="shared" si="140"/>
        <v>78.090187499999999</v>
      </c>
      <c r="AT263" s="41">
        <f t="shared" si="141"/>
        <v>0.69538669605289516</v>
      </c>
    </row>
    <row r="264" spans="1:60" x14ac:dyDescent="0.25">
      <c r="B264" s="4" t="s">
        <v>280</v>
      </c>
      <c r="C264" s="8">
        <v>100</v>
      </c>
      <c r="D264" s="4">
        <v>400</v>
      </c>
      <c r="E264" s="8">
        <v>345</v>
      </c>
      <c r="F264" s="4">
        <v>1090</v>
      </c>
      <c r="G264" s="8">
        <v>1000</v>
      </c>
      <c r="H264" s="4">
        <v>90</v>
      </c>
      <c r="I264" s="4">
        <f t="shared" si="113"/>
        <v>100</v>
      </c>
      <c r="J264" s="4">
        <v>90</v>
      </c>
      <c r="K264" s="4">
        <f t="shared" si="114"/>
        <v>100</v>
      </c>
      <c r="L264" s="4">
        <v>240</v>
      </c>
      <c r="M264" s="4">
        <f t="shared" si="119"/>
        <v>150</v>
      </c>
      <c r="N264" s="4">
        <v>4</v>
      </c>
      <c r="O264" s="4">
        <v>19.75</v>
      </c>
      <c r="P264" s="21">
        <f t="shared" si="112"/>
        <v>1225.4174844408687</v>
      </c>
      <c r="Q264" s="29">
        <f t="shared" si="142"/>
        <v>3.5519347375097647E-2</v>
      </c>
      <c r="R264" s="21">
        <v>550</v>
      </c>
      <c r="S264" s="49">
        <f t="shared" si="116"/>
        <v>0.69565217391304346</v>
      </c>
      <c r="T264" s="49">
        <f t="shared" si="117"/>
        <v>0.43478260869565216</v>
      </c>
      <c r="U264" s="4">
        <v>5</v>
      </c>
      <c r="V264">
        <f>0.82*58</f>
        <v>47.559999999999995</v>
      </c>
      <c r="W264" s="61" t="s">
        <v>457</v>
      </c>
      <c r="X264" s="7">
        <f t="shared" si="130"/>
        <v>0.75</v>
      </c>
      <c r="Y264" s="4">
        <v>30</v>
      </c>
      <c r="Z264" s="8">
        <v>0.75</v>
      </c>
      <c r="AA264" s="4">
        <v>0.3</v>
      </c>
      <c r="AB264" s="68">
        <v>100</v>
      </c>
      <c r="AC264" s="4">
        <v>2000</v>
      </c>
      <c r="AD264" s="7">
        <f t="shared" si="131"/>
        <v>0.5625</v>
      </c>
      <c r="AE264" s="68">
        <f t="shared" si="126"/>
        <v>361000</v>
      </c>
      <c r="AF264" s="68">
        <f t="shared" si="129"/>
        <v>722</v>
      </c>
      <c r="AG264" s="49">
        <f t="shared" si="128"/>
        <v>10.463768115942029</v>
      </c>
      <c r="AH264" s="45">
        <f t="shared" si="132"/>
        <v>1.5172850680741501</v>
      </c>
      <c r="AI264" s="45">
        <f t="shared" si="133"/>
        <v>2.8880685118473832</v>
      </c>
      <c r="AJ264" s="21">
        <v>361</v>
      </c>
      <c r="AK264" s="21">
        <f t="shared" si="134"/>
        <v>1</v>
      </c>
      <c r="AL264" s="68">
        <f t="shared" si="127"/>
        <v>0.5</v>
      </c>
      <c r="AM264" s="68">
        <f t="shared" si="118"/>
        <v>361.5</v>
      </c>
      <c r="AN264" s="41">
        <f t="shared" si="135"/>
        <v>10.478260869565217</v>
      </c>
      <c r="AO264" s="41">
        <f t="shared" si="136"/>
        <v>1.5193865709385186</v>
      </c>
      <c r="AP264" s="41">
        <f t="shared" si="137"/>
        <v>2.8920686067391381</v>
      </c>
      <c r="AQ264" s="21">
        <f t="shared" si="138"/>
        <v>9.0187500000000004E-2</v>
      </c>
      <c r="AR264" s="21">
        <f t="shared" si="139"/>
        <v>86.64</v>
      </c>
      <c r="AS264" s="21">
        <f t="shared" si="140"/>
        <v>86.7301875</v>
      </c>
      <c r="AT264" s="41">
        <f t="shared" si="141"/>
        <v>0.69541313368212154</v>
      </c>
    </row>
    <row r="265" spans="1:60" x14ac:dyDescent="0.25">
      <c r="B265" s="4" t="s">
        <v>281</v>
      </c>
      <c r="C265" s="8">
        <v>100</v>
      </c>
      <c r="D265" s="4">
        <v>400</v>
      </c>
      <c r="E265" s="8">
        <v>345</v>
      </c>
      <c r="F265" s="4">
        <v>1090</v>
      </c>
      <c r="G265" s="8">
        <v>1000</v>
      </c>
      <c r="H265" s="4">
        <v>90</v>
      </c>
      <c r="I265" s="4">
        <f t="shared" si="113"/>
        <v>100</v>
      </c>
      <c r="J265" s="4">
        <v>90</v>
      </c>
      <c r="K265" s="4">
        <f t="shared" si="114"/>
        <v>100</v>
      </c>
      <c r="L265" s="4">
        <v>240</v>
      </c>
      <c r="M265" s="4">
        <f t="shared" si="119"/>
        <v>150</v>
      </c>
      <c r="N265" s="4">
        <v>4</v>
      </c>
      <c r="O265" s="4">
        <v>19.75</v>
      </c>
      <c r="P265" s="21">
        <f t="shared" si="112"/>
        <v>1225.4174844408687</v>
      </c>
      <c r="Q265" s="29">
        <f t="shared" si="142"/>
        <v>3.5519347375097647E-2</v>
      </c>
      <c r="R265" s="21">
        <v>550</v>
      </c>
      <c r="S265" s="49">
        <f t="shared" si="116"/>
        <v>0.69565217391304346</v>
      </c>
      <c r="T265" s="49">
        <f t="shared" si="117"/>
        <v>0.43478260869565216</v>
      </c>
      <c r="U265" s="4">
        <v>5</v>
      </c>
      <c r="V265">
        <f>0.82*68.2</f>
        <v>55.923999999999999</v>
      </c>
      <c r="W265" s="61" t="s">
        <v>457</v>
      </c>
      <c r="X265" s="7">
        <f t="shared" si="130"/>
        <v>0.75</v>
      </c>
      <c r="Y265" s="4">
        <v>30</v>
      </c>
      <c r="Z265" s="8">
        <v>1</v>
      </c>
      <c r="AA265" s="4">
        <v>0.3</v>
      </c>
      <c r="AB265" s="68">
        <v>100</v>
      </c>
      <c r="AC265" s="4">
        <v>2000</v>
      </c>
      <c r="AD265" s="7">
        <f t="shared" si="131"/>
        <v>0.75</v>
      </c>
      <c r="AE265" s="68">
        <f t="shared" si="126"/>
        <v>396000</v>
      </c>
      <c r="AF265" s="68">
        <f t="shared" si="129"/>
        <v>792</v>
      </c>
      <c r="AG265" s="49">
        <f t="shared" si="128"/>
        <v>11.478260869565217</v>
      </c>
      <c r="AH265" s="45">
        <f t="shared" si="132"/>
        <v>1.5348890129444703</v>
      </c>
      <c r="AI265" s="45">
        <f t="shared" si="133"/>
        <v>3.0015345618678237</v>
      </c>
      <c r="AJ265" s="21">
        <v>396</v>
      </c>
      <c r="AK265" s="21">
        <f t="shared" si="134"/>
        <v>1</v>
      </c>
      <c r="AL265" s="68">
        <f t="shared" si="127"/>
        <v>0.5</v>
      </c>
      <c r="AM265" s="68">
        <f t="shared" si="118"/>
        <v>396.5</v>
      </c>
      <c r="AN265" s="41">
        <f t="shared" si="135"/>
        <v>11.492753623188406</v>
      </c>
      <c r="AO265" s="41">
        <f t="shared" si="136"/>
        <v>1.5368270041224306</v>
      </c>
      <c r="AP265" s="41">
        <f t="shared" si="137"/>
        <v>3.0053243782338188</v>
      </c>
      <c r="AQ265" s="21">
        <f t="shared" si="138"/>
        <v>9.0187500000000004E-2</v>
      </c>
      <c r="AR265" s="21">
        <f t="shared" si="139"/>
        <v>95.04</v>
      </c>
      <c r="AS265" s="21">
        <f t="shared" si="140"/>
        <v>95.130187500000005</v>
      </c>
      <c r="AT265" s="41">
        <f t="shared" si="141"/>
        <v>0.69543423433302276</v>
      </c>
    </row>
    <row r="266" spans="1:60" x14ac:dyDescent="0.25">
      <c r="B266" s="4" t="s">
        <v>282</v>
      </c>
      <c r="C266" s="8">
        <v>100</v>
      </c>
      <c r="D266" s="4">
        <v>400</v>
      </c>
      <c r="E266" s="8">
        <v>345</v>
      </c>
      <c r="F266" s="4">
        <v>1090</v>
      </c>
      <c r="G266" s="8">
        <v>1000</v>
      </c>
      <c r="H266" s="4">
        <v>90</v>
      </c>
      <c r="I266" s="4">
        <f t="shared" si="113"/>
        <v>100</v>
      </c>
      <c r="J266" s="4">
        <v>90</v>
      </c>
      <c r="K266" s="4">
        <f t="shared" si="114"/>
        <v>100</v>
      </c>
      <c r="L266" s="4">
        <v>240</v>
      </c>
      <c r="M266" s="4">
        <f t="shared" si="119"/>
        <v>150</v>
      </c>
      <c r="N266" s="4">
        <v>4</v>
      </c>
      <c r="O266" s="4">
        <v>19.75</v>
      </c>
      <c r="P266" s="21">
        <f t="shared" si="112"/>
        <v>1225.4174844408687</v>
      </c>
      <c r="Q266" s="29">
        <f t="shared" si="142"/>
        <v>3.5519347375097647E-2</v>
      </c>
      <c r="R266" s="21">
        <v>550</v>
      </c>
      <c r="S266" s="49">
        <f t="shared" si="116"/>
        <v>0.69565217391304346</v>
      </c>
      <c r="T266" s="49">
        <f t="shared" si="117"/>
        <v>0.43478260869565216</v>
      </c>
      <c r="U266" s="4">
        <v>5</v>
      </c>
      <c r="V266">
        <f>0.82*67</f>
        <v>54.94</v>
      </c>
      <c r="W266" s="61" t="s">
        <v>457</v>
      </c>
      <c r="X266" s="7">
        <f t="shared" si="130"/>
        <v>0.75</v>
      </c>
      <c r="Y266" s="4">
        <v>30</v>
      </c>
      <c r="Z266" s="8">
        <v>1.25</v>
      </c>
      <c r="AA266" s="4">
        <v>0.3</v>
      </c>
      <c r="AB266" s="68">
        <v>100</v>
      </c>
      <c r="AC266" s="4">
        <v>2000</v>
      </c>
      <c r="AD266" s="7">
        <f t="shared" si="131"/>
        <v>0.9375</v>
      </c>
      <c r="AE266" s="68">
        <f t="shared" si="126"/>
        <v>393000</v>
      </c>
      <c r="AF266" s="68">
        <f t="shared" si="129"/>
        <v>786</v>
      </c>
      <c r="AG266" s="49">
        <f t="shared" si="128"/>
        <v>11.391304347826088</v>
      </c>
      <c r="AH266" s="45">
        <f t="shared" si="132"/>
        <v>1.5368416709371753</v>
      </c>
      <c r="AI266" s="45">
        <f t="shared" si="133"/>
        <v>2.9964743901030837</v>
      </c>
      <c r="AJ266" s="21">
        <v>393</v>
      </c>
      <c r="AK266" s="21">
        <f t="shared" si="134"/>
        <v>1</v>
      </c>
      <c r="AL266" s="68">
        <f t="shared" si="127"/>
        <v>0.5</v>
      </c>
      <c r="AM266" s="68">
        <f t="shared" si="118"/>
        <v>393.5</v>
      </c>
      <c r="AN266" s="41">
        <f t="shared" si="135"/>
        <v>11.405797101449275</v>
      </c>
      <c r="AO266" s="41">
        <f t="shared" si="136"/>
        <v>1.5387969402386219</v>
      </c>
      <c r="AP266" s="41">
        <f t="shared" si="137"/>
        <v>3.0002866984874386</v>
      </c>
      <c r="AQ266" s="21">
        <f t="shared" si="138"/>
        <v>9.0187500000000004E-2</v>
      </c>
      <c r="AR266" s="21">
        <f t="shared" si="139"/>
        <v>94.32</v>
      </c>
      <c r="AS266" s="21">
        <f t="shared" si="140"/>
        <v>94.410187499999992</v>
      </c>
      <c r="AT266" s="41">
        <f t="shared" si="141"/>
        <v>0.69543257278603388</v>
      </c>
    </row>
    <row r="267" spans="1:60" x14ac:dyDescent="0.25">
      <c r="B267" s="4" t="s">
        <v>283</v>
      </c>
      <c r="C267" s="8">
        <v>100</v>
      </c>
      <c r="D267" s="4">
        <v>400</v>
      </c>
      <c r="E267" s="8">
        <v>345</v>
      </c>
      <c r="F267" s="4">
        <v>1090</v>
      </c>
      <c r="G267" s="8">
        <v>1000</v>
      </c>
      <c r="H267" s="4">
        <v>90</v>
      </c>
      <c r="I267" s="4">
        <f t="shared" si="113"/>
        <v>100</v>
      </c>
      <c r="J267" s="4">
        <v>90</v>
      </c>
      <c r="K267" s="4">
        <f t="shared" si="114"/>
        <v>100</v>
      </c>
      <c r="L267" s="4">
        <v>160</v>
      </c>
      <c r="M267" s="4">
        <f t="shared" si="119"/>
        <v>70</v>
      </c>
      <c r="N267" s="4">
        <v>4</v>
      </c>
      <c r="O267" s="4">
        <v>19.75</v>
      </c>
      <c r="P267" s="21">
        <f t="shared" si="112"/>
        <v>1225.4174844408687</v>
      </c>
      <c r="Q267" s="29">
        <f t="shared" si="142"/>
        <v>3.5519347375097647E-2</v>
      </c>
      <c r="R267" s="21">
        <v>550</v>
      </c>
      <c r="S267" s="49">
        <f t="shared" si="116"/>
        <v>0.46376811594202899</v>
      </c>
      <c r="T267" s="49">
        <f t="shared" si="117"/>
        <v>0.20289855072463769</v>
      </c>
      <c r="U267" s="4">
        <v>5</v>
      </c>
      <c r="V267">
        <f>0.82*61.6</f>
        <v>50.512</v>
      </c>
      <c r="W267" s="61" t="s">
        <v>457</v>
      </c>
      <c r="X267" s="7">
        <f t="shared" si="130"/>
        <v>0.75</v>
      </c>
      <c r="Y267" s="4">
        <v>30</v>
      </c>
      <c r="Z267" s="8">
        <v>1</v>
      </c>
      <c r="AA267" s="4">
        <v>0.3</v>
      </c>
      <c r="AB267" s="68">
        <v>100</v>
      </c>
      <c r="AC267" s="4">
        <v>2000</v>
      </c>
      <c r="AD267" s="7">
        <f t="shared" si="131"/>
        <v>0.75</v>
      </c>
      <c r="AE267" s="68">
        <f t="shared" si="126"/>
        <v>454000</v>
      </c>
      <c r="AF267" s="68">
        <f t="shared" si="129"/>
        <v>908</v>
      </c>
      <c r="AG267" s="49">
        <f t="shared" si="128"/>
        <v>13.159420289855072</v>
      </c>
      <c r="AH267" s="45">
        <f t="shared" si="132"/>
        <v>1.8515671860897296</v>
      </c>
      <c r="AI267" s="45">
        <f t="shared" si="133"/>
        <v>3.5599063205500996</v>
      </c>
      <c r="AJ267" s="21">
        <v>454</v>
      </c>
      <c r="AK267" s="21">
        <f t="shared" si="134"/>
        <v>1</v>
      </c>
      <c r="AL267" s="68">
        <f t="shared" si="127"/>
        <v>0.5</v>
      </c>
      <c r="AM267" s="68">
        <f t="shared" si="118"/>
        <v>454.5</v>
      </c>
      <c r="AN267" s="41">
        <f t="shared" si="135"/>
        <v>13.173913043478262</v>
      </c>
      <c r="AO267" s="41">
        <f t="shared" si="136"/>
        <v>1.8536063569995203</v>
      </c>
      <c r="AP267" s="41">
        <f t="shared" si="137"/>
        <v>3.5638269222247145</v>
      </c>
      <c r="AQ267" s="21">
        <f t="shared" si="138"/>
        <v>6.6187499999999996E-2</v>
      </c>
      <c r="AR267" s="21">
        <f t="shared" si="139"/>
        <v>72.64</v>
      </c>
      <c r="AS267" s="21">
        <f t="shared" si="140"/>
        <v>72.706187499999999</v>
      </c>
      <c r="AT267" s="41">
        <f t="shared" si="141"/>
        <v>0.4636800274230321</v>
      </c>
    </row>
    <row r="268" spans="1:60" x14ac:dyDescent="0.25">
      <c r="B268" s="4" t="s">
        <v>284</v>
      </c>
      <c r="C268" s="8">
        <v>100</v>
      </c>
      <c r="D268" s="4">
        <v>400</v>
      </c>
      <c r="E268" s="8">
        <v>345</v>
      </c>
      <c r="F268" s="4">
        <v>1090</v>
      </c>
      <c r="G268" s="8">
        <v>1000</v>
      </c>
      <c r="H268" s="4">
        <v>90</v>
      </c>
      <c r="I268" s="4">
        <f t="shared" si="113"/>
        <v>100</v>
      </c>
      <c r="J268" s="4">
        <v>90</v>
      </c>
      <c r="K268" s="4">
        <f t="shared" si="114"/>
        <v>100</v>
      </c>
      <c r="L268" s="4">
        <v>200</v>
      </c>
      <c r="M268" s="4">
        <f t="shared" si="119"/>
        <v>110</v>
      </c>
      <c r="N268" s="4">
        <v>4</v>
      </c>
      <c r="O268" s="4">
        <v>19.75</v>
      </c>
      <c r="P268" s="21">
        <f t="shared" si="112"/>
        <v>1225.4174844408687</v>
      </c>
      <c r="Q268" s="29">
        <f t="shared" si="142"/>
        <v>3.5519347375097647E-2</v>
      </c>
      <c r="R268" s="21">
        <v>550</v>
      </c>
      <c r="S268" s="49">
        <f t="shared" si="116"/>
        <v>0.57971014492753625</v>
      </c>
      <c r="T268" s="49">
        <f t="shared" si="117"/>
        <v>0.3188405797101449</v>
      </c>
      <c r="U268" s="4">
        <v>5</v>
      </c>
      <c r="V268">
        <f>0.82*58.3</f>
        <v>47.805999999999997</v>
      </c>
      <c r="W268" s="61" t="s">
        <v>457</v>
      </c>
      <c r="X268" s="7">
        <f t="shared" si="130"/>
        <v>0.75</v>
      </c>
      <c r="Y268" s="4">
        <v>30</v>
      </c>
      <c r="Z268" s="8">
        <v>1</v>
      </c>
      <c r="AA268" s="4">
        <v>0.3</v>
      </c>
      <c r="AB268" s="68">
        <v>100</v>
      </c>
      <c r="AC268" s="4">
        <v>2000</v>
      </c>
      <c r="AD268" s="7">
        <f t="shared" si="131"/>
        <v>0.75</v>
      </c>
      <c r="AE268" s="68">
        <f t="shared" si="126"/>
        <v>404000</v>
      </c>
      <c r="AF268" s="68">
        <f t="shared" si="129"/>
        <v>808</v>
      </c>
      <c r="AG268" s="49">
        <f t="shared" si="128"/>
        <v>11.710144927536232</v>
      </c>
      <c r="AH268" s="45">
        <f t="shared" si="132"/>
        <v>1.693639860647475</v>
      </c>
      <c r="AI268" s="45">
        <f t="shared" si="133"/>
        <v>3.2265232652543077</v>
      </c>
      <c r="AJ268" s="21">
        <v>404</v>
      </c>
      <c r="AK268" s="21">
        <f t="shared" si="134"/>
        <v>1</v>
      </c>
      <c r="AL268" s="68">
        <f t="shared" si="127"/>
        <v>0.5</v>
      </c>
      <c r="AM268" s="68">
        <f t="shared" si="118"/>
        <v>404.5</v>
      </c>
      <c r="AN268" s="41">
        <f t="shared" si="135"/>
        <v>11.72463768115942</v>
      </c>
      <c r="AO268" s="41">
        <f t="shared" si="136"/>
        <v>1.6957359495839197</v>
      </c>
      <c r="AP268" s="41">
        <f t="shared" si="137"/>
        <v>3.2305164871172458</v>
      </c>
      <c r="AQ268" s="21">
        <f t="shared" si="138"/>
        <v>7.8987500000000016E-2</v>
      </c>
      <c r="AR268" s="21">
        <f t="shared" si="139"/>
        <v>80.8</v>
      </c>
      <c r="AS268" s="21">
        <f t="shared" si="140"/>
        <v>80.878987499999994</v>
      </c>
      <c r="AT268" s="41">
        <f t="shared" si="141"/>
        <v>0.57955957435373773</v>
      </c>
    </row>
    <row r="269" spans="1:60" x14ac:dyDescent="0.25">
      <c r="B269" s="4" t="s">
        <v>285</v>
      </c>
      <c r="C269" s="8">
        <v>100</v>
      </c>
      <c r="D269" s="4">
        <v>400</v>
      </c>
      <c r="E269" s="8">
        <v>345</v>
      </c>
      <c r="F269" s="4">
        <v>1090</v>
      </c>
      <c r="G269" s="8">
        <v>1000</v>
      </c>
      <c r="H269" s="4">
        <v>90</v>
      </c>
      <c r="I269" s="4">
        <f t="shared" si="113"/>
        <v>100</v>
      </c>
      <c r="J269" s="4">
        <v>90</v>
      </c>
      <c r="K269" s="4">
        <f t="shared" si="114"/>
        <v>100</v>
      </c>
      <c r="L269" s="4">
        <v>280</v>
      </c>
      <c r="M269" s="4">
        <f t="shared" si="119"/>
        <v>190</v>
      </c>
      <c r="N269" s="4">
        <v>4</v>
      </c>
      <c r="O269" s="4">
        <v>19.75</v>
      </c>
      <c r="P269" s="21">
        <f t="shared" ref="P269:P301" si="143">N269*PI()*(O269/2)^2</f>
        <v>1225.4174844408687</v>
      </c>
      <c r="Q269" s="29">
        <f t="shared" si="142"/>
        <v>3.5519347375097647E-2</v>
      </c>
      <c r="R269" s="21">
        <v>550</v>
      </c>
      <c r="S269" s="49">
        <f t="shared" si="116"/>
        <v>0.81159420289855078</v>
      </c>
      <c r="T269" s="49">
        <f t="shared" si="117"/>
        <v>0.55072463768115942</v>
      </c>
      <c r="U269" s="4">
        <v>5</v>
      </c>
      <c r="V269">
        <f>0.82*55.6</f>
        <v>45.591999999999999</v>
      </c>
      <c r="W269" s="61" t="s">
        <v>457</v>
      </c>
      <c r="X269" s="7">
        <f t="shared" si="130"/>
        <v>0.75</v>
      </c>
      <c r="Y269" s="4">
        <v>30</v>
      </c>
      <c r="Z269" s="8">
        <v>1</v>
      </c>
      <c r="AA269" s="4">
        <v>0.3</v>
      </c>
      <c r="AB269" s="68">
        <v>100</v>
      </c>
      <c r="AC269" s="4">
        <v>2000</v>
      </c>
      <c r="AD269" s="7">
        <f t="shared" si="131"/>
        <v>0.75</v>
      </c>
      <c r="AE269" s="68">
        <f t="shared" si="126"/>
        <v>342000</v>
      </c>
      <c r="AF269" s="68">
        <f t="shared" si="129"/>
        <v>684</v>
      </c>
      <c r="AG269" s="49">
        <f t="shared" si="128"/>
        <v>9.9130434782608692</v>
      </c>
      <c r="AH269" s="45">
        <f t="shared" si="132"/>
        <v>1.4681238333224893</v>
      </c>
      <c r="AI269" s="45">
        <f t="shared" si="133"/>
        <v>2.7748795074428965</v>
      </c>
      <c r="AJ269" s="21">
        <v>342</v>
      </c>
      <c r="AK269" s="21">
        <f t="shared" si="134"/>
        <v>1</v>
      </c>
      <c r="AL269" s="68">
        <f t="shared" si="127"/>
        <v>0.5</v>
      </c>
      <c r="AM269" s="68">
        <f t="shared" si="118"/>
        <v>342.5</v>
      </c>
      <c r="AN269" s="41">
        <f t="shared" si="135"/>
        <v>9.9275362318840585</v>
      </c>
      <c r="AO269" s="41">
        <f t="shared" si="136"/>
        <v>1.4702702131957679</v>
      </c>
      <c r="AP269" s="41">
        <f t="shared" si="137"/>
        <v>2.7789363488280472</v>
      </c>
      <c r="AQ269" s="21">
        <f t="shared" si="138"/>
        <v>9.9787500000000001E-2</v>
      </c>
      <c r="AR269" s="21">
        <f t="shared" si="139"/>
        <v>95.76</v>
      </c>
      <c r="AS269" s="21">
        <f t="shared" si="140"/>
        <v>95.85978750000001</v>
      </c>
      <c r="AT269" s="41">
        <f t="shared" si="141"/>
        <v>0.81125388765471296</v>
      </c>
    </row>
    <row r="270" spans="1:60" x14ac:dyDescent="0.25">
      <c r="B270" s="4" t="s">
        <v>286</v>
      </c>
      <c r="C270" s="8">
        <v>100</v>
      </c>
      <c r="D270" s="4">
        <v>400</v>
      </c>
      <c r="E270" s="8">
        <v>345</v>
      </c>
      <c r="F270" s="4">
        <v>1090</v>
      </c>
      <c r="G270" s="8">
        <v>1000</v>
      </c>
      <c r="H270" s="4">
        <v>90</v>
      </c>
      <c r="I270" s="4">
        <f t="shared" si="113"/>
        <v>100</v>
      </c>
      <c r="J270" s="4">
        <v>90</v>
      </c>
      <c r="K270" s="4">
        <f t="shared" si="114"/>
        <v>100</v>
      </c>
      <c r="L270" s="4">
        <v>320</v>
      </c>
      <c r="M270" s="4">
        <f t="shared" si="119"/>
        <v>230</v>
      </c>
      <c r="N270" s="4">
        <v>4</v>
      </c>
      <c r="O270" s="4">
        <v>19.75</v>
      </c>
      <c r="P270" s="21">
        <f t="shared" si="143"/>
        <v>1225.4174844408687</v>
      </c>
      <c r="Q270" s="29">
        <f t="shared" si="142"/>
        <v>3.5519347375097647E-2</v>
      </c>
      <c r="R270" s="21">
        <v>550</v>
      </c>
      <c r="S270" s="49">
        <f t="shared" si="116"/>
        <v>0.92753623188405798</v>
      </c>
      <c r="T270" s="49">
        <f t="shared" si="117"/>
        <v>0.66666666666666663</v>
      </c>
      <c r="U270" s="4">
        <v>5</v>
      </c>
      <c r="V270">
        <f>0.82*59.9</f>
        <v>49.117999999999995</v>
      </c>
      <c r="W270" s="61" t="s">
        <v>457</v>
      </c>
      <c r="X270" s="7">
        <f t="shared" si="130"/>
        <v>0.75</v>
      </c>
      <c r="Y270" s="4">
        <v>30</v>
      </c>
      <c r="Z270" s="8">
        <v>1</v>
      </c>
      <c r="AA270" s="4">
        <v>0.3</v>
      </c>
      <c r="AB270" s="68">
        <v>100</v>
      </c>
      <c r="AC270" s="4">
        <v>2000</v>
      </c>
      <c r="AD270" s="7">
        <f t="shared" si="131"/>
        <v>0.75</v>
      </c>
      <c r="AE270" s="68">
        <f t="shared" si="126"/>
        <v>344000</v>
      </c>
      <c r="AF270" s="68">
        <f t="shared" si="129"/>
        <v>688</v>
      </c>
      <c r="AG270" s="49">
        <f t="shared" si="128"/>
        <v>9.9710144927536231</v>
      </c>
      <c r="AH270" s="45">
        <f t="shared" si="132"/>
        <v>1.4227186025818574</v>
      </c>
      <c r="AI270" s="45">
        <f t="shared" si="133"/>
        <v>2.7226540126743037</v>
      </c>
      <c r="AJ270" s="21">
        <v>344</v>
      </c>
      <c r="AK270" s="21">
        <f t="shared" si="134"/>
        <v>1</v>
      </c>
      <c r="AL270" s="68">
        <f t="shared" si="127"/>
        <v>0.5</v>
      </c>
      <c r="AM270" s="68">
        <f t="shared" si="118"/>
        <v>344.5</v>
      </c>
      <c r="AN270" s="41">
        <f t="shared" si="135"/>
        <v>9.9855072463768124</v>
      </c>
      <c r="AO270" s="41">
        <f t="shared" si="136"/>
        <v>1.4247865075274706</v>
      </c>
      <c r="AP270" s="41">
        <f t="shared" si="137"/>
        <v>2.7266113586229581</v>
      </c>
      <c r="AQ270" s="21">
        <f t="shared" si="138"/>
        <v>0.10778750000000001</v>
      </c>
      <c r="AR270" s="21">
        <f t="shared" si="139"/>
        <v>110.08</v>
      </c>
      <c r="AS270" s="21">
        <f t="shared" si="140"/>
        <v>110.1877875</v>
      </c>
      <c r="AT270" s="41">
        <f t="shared" si="141"/>
        <v>0.92709692686312861</v>
      </c>
    </row>
    <row r="271" spans="1:60" x14ac:dyDescent="0.25">
      <c r="B271" s="4" t="s">
        <v>287</v>
      </c>
      <c r="C271" s="8">
        <v>100</v>
      </c>
      <c r="D271" s="4">
        <v>400</v>
      </c>
      <c r="E271" s="8">
        <v>345</v>
      </c>
      <c r="F271" s="4">
        <v>1090</v>
      </c>
      <c r="G271" s="8">
        <v>1000</v>
      </c>
      <c r="H271" s="4">
        <v>90</v>
      </c>
      <c r="I271" s="4">
        <f t="shared" si="113"/>
        <v>100</v>
      </c>
      <c r="J271" s="4">
        <v>90</v>
      </c>
      <c r="K271" s="4">
        <f t="shared" si="114"/>
        <v>100</v>
      </c>
      <c r="L271" s="4">
        <v>240</v>
      </c>
      <c r="M271" s="4">
        <f t="shared" si="119"/>
        <v>150</v>
      </c>
      <c r="N271" s="4">
        <v>4</v>
      </c>
      <c r="O271" s="4">
        <v>19.75</v>
      </c>
      <c r="P271" s="21">
        <f t="shared" si="143"/>
        <v>1225.4174844408687</v>
      </c>
      <c r="Q271" s="29">
        <f t="shared" si="142"/>
        <v>3.5519347375097647E-2</v>
      </c>
      <c r="R271" s="21">
        <v>550</v>
      </c>
      <c r="S271" s="49">
        <f t="shared" si="116"/>
        <v>0.69565217391304346</v>
      </c>
      <c r="T271" s="49">
        <f t="shared" si="117"/>
        <v>0.43478260869565216</v>
      </c>
      <c r="U271" s="4">
        <v>5</v>
      </c>
      <c r="V271">
        <f>0.82*37.8</f>
        <v>30.995999999999995</v>
      </c>
      <c r="W271" s="61" t="s">
        <v>457</v>
      </c>
      <c r="X271" s="7">
        <f t="shared" si="130"/>
        <v>0.75</v>
      </c>
      <c r="Y271" s="4">
        <v>30</v>
      </c>
      <c r="Z271" s="8">
        <v>1</v>
      </c>
      <c r="AA271" s="4">
        <v>0.3</v>
      </c>
      <c r="AB271" s="68">
        <v>100</v>
      </c>
      <c r="AC271" s="4">
        <v>2000</v>
      </c>
      <c r="AD271" s="7">
        <f t="shared" si="131"/>
        <v>0.75</v>
      </c>
      <c r="AE271" s="68">
        <f t="shared" si="126"/>
        <v>294000</v>
      </c>
      <c r="AF271" s="68">
        <f t="shared" si="129"/>
        <v>588</v>
      </c>
      <c r="AG271" s="49">
        <f t="shared" si="128"/>
        <v>8.5217391304347831</v>
      </c>
      <c r="AH271" s="45">
        <f t="shared" si="132"/>
        <v>1.5306482850031216</v>
      </c>
      <c r="AI271" s="45">
        <f t="shared" si="133"/>
        <v>2.7128535607086701</v>
      </c>
      <c r="AJ271" s="21">
        <v>294</v>
      </c>
      <c r="AK271" s="21">
        <f t="shared" si="134"/>
        <v>1</v>
      </c>
      <c r="AL271" s="68">
        <f t="shared" si="127"/>
        <v>0.5</v>
      </c>
      <c r="AM271" s="68">
        <f t="shared" si="118"/>
        <v>294.5</v>
      </c>
      <c r="AN271" s="41">
        <f t="shared" si="135"/>
        <v>8.5362318840579707</v>
      </c>
      <c r="AO271" s="41">
        <f t="shared" si="136"/>
        <v>1.5332514283449634</v>
      </c>
      <c r="AP271" s="41">
        <f t="shared" si="137"/>
        <v>2.7174672572404877</v>
      </c>
      <c r="AQ271" s="21">
        <f t="shared" si="138"/>
        <v>9.0187500000000004E-2</v>
      </c>
      <c r="AR271" s="21">
        <f t="shared" si="139"/>
        <v>70.56</v>
      </c>
      <c r="AS271" s="21">
        <f t="shared" si="140"/>
        <v>70.650187500000001</v>
      </c>
      <c r="AT271" s="41">
        <f t="shared" si="141"/>
        <v>0.69535875101498479</v>
      </c>
    </row>
    <row r="272" spans="1:60" x14ac:dyDescent="0.25">
      <c r="A272" s="1"/>
      <c r="B272" s="10" t="s">
        <v>288</v>
      </c>
      <c r="C272" s="9">
        <v>100</v>
      </c>
      <c r="D272" s="10">
        <v>400</v>
      </c>
      <c r="E272" s="9">
        <v>345</v>
      </c>
      <c r="F272" s="10">
        <v>1090</v>
      </c>
      <c r="G272" s="9">
        <v>1000</v>
      </c>
      <c r="H272" s="10">
        <v>90</v>
      </c>
      <c r="I272" s="10">
        <f t="shared" si="113"/>
        <v>100</v>
      </c>
      <c r="J272" s="10">
        <v>90</v>
      </c>
      <c r="K272" s="10">
        <f t="shared" si="114"/>
        <v>100</v>
      </c>
      <c r="L272" s="10">
        <v>240</v>
      </c>
      <c r="M272" s="10">
        <f t="shared" si="119"/>
        <v>150</v>
      </c>
      <c r="N272" s="10">
        <v>4</v>
      </c>
      <c r="O272" s="10">
        <v>19.75</v>
      </c>
      <c r="P272" s="27">
        <f t="shared" si="143"/>
        <v>1225.4174844408687</v>
      </c>
      <c r="Q272" s="36">
        <f t="shared" si="142"/>
        <v>3.5519347375097647E-2</v>
      </c>
      <c r="R272" s="27">
        <v>550</v>
      </c>
      <c r="S272" s="50">
        <f t="shared" si="116"/>
        <v>0.69565217391304346</v>
      </c>
      <c r="T272" s="50">
        <f t="shared" si="117"/>
        <v>0.43478260869565216</v>
      </c>
      <c r="U272" s="10">
        <v>5</v>
      </c>
      <c r="V272" s="1">
        <f>0.82*42.3</f>
        <v>34.685999999999993</v>
      </c>
      <c r="W272" s="62" t="s">
        <v>457</v>
      </c>
      <c r="X272" s="7">
        <f t="shared" si="130"/>
        <v>0.75</v>
      </c>
      <c r="Y272" s="10">
        <v>30</v>
      </c>
      <c r="Z272" s="9">
        <v>1</v>
      </c>
      <c r="AA272" s="10">
        <v>0.3</v>
      </c>
      <c r="AB272" s="69">
        <v>100</v>
      </c>
      <c r="AC272" s="10">
        <v>2000</v>
      </c>
      <c r="AD272" s="7">
        <f t="shared" si="131"/>
        <v>0.75</v>
      </c>
      <c r="AE272" s="69">
        <f t="shared" si="126"/>
        <v>333000</v>
      </c>
      <c r="AF272" s="69">
        <f t="shared" si="129"/>
        <v>666</v>
      </c>
      <c r="AG272" s="50">
        <f t="shared" si="128"/>
        <v>9.6521739130434785</v>
      </c>
      <c r="AH272" s="45">
        <f t="shared" si="132"/>
        <v>1.6388832950909373</v>
      </c>
      <c r="AI272" s="45">
        <f t="shared" si="133"/>
        <v>2.9596502922128378</v>
      </c>
      <c r="AJ272" s="27">
        <v>333</v>
      </c>
      <c r="AK272" s="21">
        <f t="shared" si="134"/>
        <v>1</v>
      </c>
      <c r="AL272" s="69">
        <f t="shared" si="127"/>
        <v>0.5</v>
      </c>
      <c r="AM272" s="69">
        <f t="shared" si="118"/>
        <v>333.5</v>
      </c>
      <c r="AN272" s="41">
        <f t="shared" si="135"/>
        <v>9.6666666666666661</v>
      </c>
      <c r="AO272" s="41">
        <f t="shared" si="136"/>
        <v>1.6413440808193021</v>
      </c>
      <c r="AP272" s="41">
        <f t="shared" si="137"/>
        <v>2.9640942115705142</v>
      </c>
      <c r="AQ272" s="21">
        <f t="shared" si="138"/>
        <v>9.0187500000000004E-2</v>
      </c>
      <c r="AR272" s="21">
        <f t="shared" si="139"/>
        <v>79.92</v>
      </c>
      <c r="AS272" s="21">
        <f t="shared" si="140"/>
        <v>80.010187500000001</v>
      </c>
      <c r="AT272" s="41">
        <f t="shared" si="141"/>
        <v>0.69539306433739645</v>
      </c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</row>
    <row r="273" spans="1:46" x14ac:dyDescent="0.25">
      <c r="A273" t="s">
        <v>32</v>
      </c>
      <c r="B273" s="4" t="s">
        <v>289</v>
      </c>
      <c r="C273" s="8">
        <v>63.5</v>
      </c>
      <c r="D273" s="4">
        <v>127</v>
      </c>
      <c r="E273" s="8">
        <v>102</v>
      </c>
      <c r="F273">
        <f>G273+100</f>
        <v>712</v>
      </c>
      <c r="G273">
        <f>2*L273</f>
        <v>612</v>
      </c>
      <c r="H273" s="4">
        <v>12.5</v>
      </c>
      <c r="I273" s="4">
        <f t="shared" si="113"/>
        <v>63.5</v>
      </c>
      <c r="J273" s="4">
        <v>12.5</v>
      </c>
      <c r="K273" s="4">
        <f t="shared" si="114"/>
        <v>63.5</v>
      </c>
      <c r="L273">
        <f t="shared" ref="L273:L278" si="144">3*E273</f>
        <v>306</v>
      </c>
      <c r="M273">
        <f t="shared" si="119"/>
        <v>293.5</v>
      </c>
      <c r="N273" s="4">
        <v>2</v>
      </c>
      <c r="O273">
        <f>IF(E273=102,9.53,19.1)</f>
        <v>9.5299999999999994</v>
      </c>
      <c r="P273" s="21">
        <f t="shared" si="143"/>
        <v>142.66113611620662</v>
      </c>
      <c r="Q273" s="29">
        <f t="shared" si="142"/>
        <v>2.2025804557079916E-2</v>
      </c>
      <c r="R273" s="21">
        <v>450</v>
      </c>
      <c r="S273" s="41">
        <f t="shared" si="116"/>
        <v>3</v>
      </c>
      <c r="T273" s="41">
        <f t="shared" si="117"/>
        <v>2.8774509803921569</v>
      </c>
      <c r="U273" s="4">
        <v>2.36</v>
      </c>
      <c r="V273">
        <v>53</v>
      </c>
      <c r="W273" s="61" t="s">
        <v>457</v>
      </c>
      <c r="X273" s="7">
        <f t="shared" si="130"/>
        <v>0.75</v>
      </c>
      <c r="Y273" s="4">
        <v>25</v>
      </c>
      <c r="Z273" s="8">
        <v>1</v>
      </c>
      <c r="AA273">
        <f>Y273/AB273</f>
        <v>0.8771929824561403</v>
      </c>
      <c r="AB273" s="68">
        <v>28.5</v>
      </c>
      <c r="AC273" s="4">
        <v>1000</v>
      </c>
      <c r="AD273" s="7">
        <f t="shared" si="131"/>
        <v>0.21375</v>
      </c>
      <c r="AE273" s="21">
        <f t="shared" si="126"/>
        <v>16516.349999999999</v>
      </c>
      <c r="AF273" s="68">
        <f>2*AJ273</f>
        <v>33.032699999999998</v>
      </c>
      <c r="AG273" s="41">
        <v>2.5499999999999998</v>
      </c>
      <c r="AH273" s="45">
        <f t="shared" si="132"/>
        <v>0.350269438069157</v>
      </c>
      <c r="AI273" s="45">
        <f t="shared" si="133"/>
        <v>0.67886209059959668</v>
      </c>
      <c r="AJ273" s="21">
        <f t="shared" ref="AJ273:AJ294" si="145">AG273*C273*E273/1000</f>
        <v>16.516349999999999</v>
      </c>
      <c r="AK273" s="21">
        <f t="shared" si="134"/>
        <v>0.20161249999999997</v>
      </c>
      <c r="AL273" s="21">
        <f t="shared" si="127"/>
        <v>6.1693424999999996E-2</v>
      </c>
      <c r="AM273" s="21">
        <f t="shared" si="118"/>
        <v>16.578043425000001</v>
      </c>
      <c r="AN273" s="41">
        <f t="shared" si="135"/>
        <v>2.5595249999999998</v>
      </c>
      <c r="AO273" s="41">
        <f t="shared" si="136"/>
        <v>0.35157779744076828</v>
      </c>
      <c r="AP273" s="41">
        <f t="shared" si="137"/>
        <v>0.68139784017330696</v>
      </c>
      <c r="AQ273" s="21">
        <f t="shared" si="138"/>
        <v>9.1870784000000014E-3</v>
      </c>
      <c r="AR273" s="21">
        <f t="shared" si="139"/>
        <v>5.0540031000000001</v>
      </c>
      <c r="AS273" s="21">
        <f t="shared" si="140"/>
        <v>5.0631901784000002</v>
      </c>
      <c r="AT273" s="41">
        <f t="shared" si="141"/>
        <v>2.9942688725993869</v>
      </c>
    </row>
    <row r="274" spans="1:46" x14ac:dyDescent="0.25">
      <c r="A274">
        <v>1992</v>
      </c>
      <c r="B274" s="4" t="s">
        <v>290</v>
      </c>
      <c r="C274" s="8">
        <v>127</v>
      </c>
      <c r="D274" s="4">
        <v>228</v>
      </c>
      <c r="E274" s="8">
        <v>204</v>
      </c>
      <c r="F274">
        <f t="shared" ref="F274:F294" si="146">G274+100</f>
        <v>1324</v>
      </c>
      <c r="G274">
        <f t="shared" ref="G274:G294" si="147">2*L274</f>
        <v>1224</v>
      </c>
      <c r="H274" s="4">
        <v>25</v>
      </c>
      <c r="I274" s="4">
        <f t="shared" ref="I274:I294" si="148">C274</f>
        <v>127</v>
      </c>
      <c r="J274" s="4">
        <v>25</v>
      </c>
      <c r="K274" s="4">
        <f t="shared" ref="K274:K294" si="149">I274</f>
        <v>127</v>
      </c>
      <c r="L274">
        <f t="shared" si="144"/>
        <v>612</v>
      </c>
      <c r="M274">
        <f t="shared" si="119"/>
        <v>587</v>
      </c>
      <c r="N274" s="4">
        <v>2</v>
      </c>
      <c r="O274">
        <f t="shared" ref="O274:O294" si="150">IF(E274=102,9.53,19.1)</f>
        <v>19.100000000000001</v>
      </c>
      <c r="P274" s="21">
        <f t="shared" si="143"/>
        <v>573.04220797804635</v>
      </c>
      <c r="Q274" s="29">
        <f t="shared" si="142"/>
        <v>2.2118349852479787E-2</v>
      </c>
      <c r="R274" s="21">
        <v>450</v>
      </c>
      <c r="S274" s="41">
        <f t="shared" si="116"/>
        <v>3</v>
      </c>
      <c r="T274" s="41">
        <f t="shared" si="117"/>
        <v>2.8774509803921569</v>
      </c>
      <c r="U274" s="4">
        <v>2.36</v>
      </c>
      <c r="V274">
        <v>53</v>
      </c>
      <c r="W274" s="61" t="s">
        <v>457</v>
      </c>
      <c r="X274" s="7">
        <f t="shared" si="130"/>
        <v>0.75</v>
      </c>
      <c r="Y274" s="4">
        <v>25</v>
      </c>
      <c r="Z274" s="8">
        <v>1</v>
      </c>
      <c r="AA274">
        <f t="shared" ref="AA274:AA294" si="151">Y274/AB274</f>
        <v>0.8771929824561403</v>
      </c>
      <c r="AB274" s="68">
        <v>28.5</v>
      </c>
      <c r="AC274" s="4">
        <v>1000</v>
      </c>
      <c r="AD274" s="7">
        <f t="shared" si="131"/>
        <v>0.21375</v>
      </c>
      <c r="AE274" s="21">
        <f t="shared" si="126"/>
        <v>50520.6</v>
      </c>
      <c r="AF274" s="68">
        <f t="shared" ref="AF274:AF294" si="152">2*AJ274</f>
        <v>101.0412</v>
      </c>
      <c r="AG274" s="41">
        <v>1.95</v>
      </c>
      <c r="AH274" s="45">
        <f t="shared" si="132"/>
        <v>0.26785309969994359</v>
      </c>
      <c r="AI274" s="45">
        <f t="shared" si="133"/>
        <v>0.51912983398792689</v>
      </c>
      <c r="AJ274" s="21">
        <f t="shared" si="145"/>
        <v>50.520600000000002</v>
      </c>
      <c r="AK274" s="21">
        <f t="shared" si="134"/>
        <v>0.72389999999999999</v>
      </c>
      <c r="AL274" s="21">
        <f t="shared" si="127"/>
        <v>0.4430268</v>
      </c>
      <c r="AM274" s="21">
        <f t="shared" si="118"/>
        <v>50.9636268</v>
      </c>
      <c r="AN274" s="41">
        <f t="shared" si="135"/>
        <v>1.9670999999999998</v>
      </c>
      <c r="AO274" s="41">
        <f t="shared" si="136"/>
        <v>0.27020196534346619</v>
      </c>
      <c r="AP274" s="41">
        <f t="shared" si="137"/>
        <v>0.52368220330135951</v>
      </c>
      <c r="AQ274" s="21">
        <f t="shared" si="138"/>
        <v>0.13466132579999998</v>
      </c>
      <c r="AR274" s="21">
        <f t="shared" si="139"/>
        <v>30.918607200000004</v>
      </c>
      <c r="AS274" s="21">
        <f t="shared" si="140"/>
        <v>31.053268525800004</v>
      </c>
      <c r="AT274" s="41">
        <f t="shared" si="141"/>
        <v>2.9868734643947144</v>
      </c>
    </row>
    <row r="275" spans="1:46" x14ac:dyDescent="0.25">
      <c r="B275" s="4" t="s">
        <v>291</v>
      </c>
      <c r="C275" s="8">
        <v>63.5</v>
      </c>
      <c r="D275" s="4">
        <v>127</v>
      </c>
      <c r="E275" s="8">
        <v>102</v>
      </c>
      <c r="F275">
        <f t="shared" si="146"/>
        <v>712</v>
      </c>
      <c r="G275">
        <f t="shared" si="147"/>
        <v>612</v>
      </c>
      <c r="H275" s="4">
        <v>12.5</v>
      </c>
      <c r="I275" s="4">
        <f t="shared" si="148"/>
        <v>63.5</v>
      </c>
      <c r="J275" s="4">
        <v>12.5</v>
      </c>
      <c r="K275" s="4">
        <f t="shared" si="149"/>
        <v>63.5</v>
      </c>
      <c r="L275">
        <f t="shared" si="144"/>
        <v>306</v>
      </c>
      <c r="M275">
        <f t="shared" si="119"/>
        <v>293.5</v>
      </c>
      <c r="N275" s="4">
        <v>2</v>
      </c>
      <c r="O275">
        <f t="shared" si="150"/>
        <v>9.5299999999999994</v>
      </c>
      <c r="P275" s="21">
        <f t="shared" si="143"/>
        <v>142.66113611620662</v>
      </c>
      <c r="Q275" s="29">
        <f t="shared" si="142"/>
        <v>2.2025804557079916E-2</v>
      </c>
      <c r="R275" s="21">
        <v>450</v>
      </c>
      <c r="S275" s="41">
        <f t="shared" si="116"/>
        <v>3</v>
      </c>
      <c r="T275" s="41">
        <f t="shared" si="117"/>
        <v>2.8774509803921569</v>
      </c>
      <c r="U275" s="4">
        <v>2.36</v>
      </c>
      <c r="V275">
        <v>50.2</v>
      </c>
      <c r="W275" s="61" t="s">
        <v>457</v>
      </c>
      <c r="X275" s="7">
        <f t="shared" si="130"/>
        <v>0.75</v>
      </c>
      <c r="Y275" s="4">
        <v>25</v>
      </c>
      <c r="Z275" s="8">
        <v>2</v>
      </c>
      <c r="AA275">
        <f t="shared" si="151"/>
        <v>0.8771929824561403</v>
      </c>
      <c r="AB275" s="68">
        <v>28.5</v>
      </c>
      <c r="AC275" s="4">
        <v>1000</v>
      </c>
      <c r="AD275" s="7">
        <f t="shared" si="131"/>
        <v>0.42749999999999999</v>
      </c>
      <c r="AE275" s="21">
        <f t="shared" si="126"/>
        <v>20791.170000000002</v>
      </c>
      <c r="AF275" s="68">
        <f t="shared" si="152"/>
        <v>41.582340000000002</v>
      </c>
      <c r="AG275" s="41">
        <v>3.21</v>
      </c>
      <c r="AH275" s="45">
        <f t="shared" si="132"/>
        <v>0.45305734314245338</v>
      </c>
      <c r="AI275" s="45">
        <f t="shared" si="133"/>
        <v>0.87016937263599159</v>
      </c>
      <c r="AJ275" s="21">
        <f t="shared" si="145"/>
        <v>20.791170000000001</v>
      </c>
      <c r="AK275" s="21">
        <f t="shared" si="134"/>
        <v>0.20161249999999997</v>
      </c>
      <c r="AL275" s="21">
        <f t="shared" si="127"/>
        <v>6.1693424999999996E-2</v>
      </c>
      <c r="AM275" s="21">
        <f t="shared" si="118"/>
        <v>20.852863425000002</v>
      </c>
      <c r="AN275" s="41">
        <f t="shared" si="135"/>
        <v>3.2195250000000004</v>
      </c>
      <c r="AO275" s="41">
        <f t="shared" si="136"/>
        <v>0.45440169553916121</v>
      </c>
      <c r="AP275" s="41">
        <f t="shared" si="137"/>
        <v>0.87275141726974803</v>
      </c>
      <c r="AQ275" s="21">
        <f t="shared" si="138"/>
        <v>9.1870784000000014E-3</v>
      </c>
      <c r="AR275" s="21">
        <f t="shared" si="139"/>
        <v>6.3620980200000004</v>
      </c>
      <c r="AS275" s="21">
        <f t="shared" si="140"/>
        <v>6.3712850984000005</v>
      </c>
      <c r="AT275" s="41">
        <f t="shared" si="141"/>
        <v>2.9954437490437082</v>
      </c>
    </row>
    <row r="276" spans="1:46" x14ac:dyDescent="0.25">
      <c r="B276" s="4" t="s">
        <v>292</v>
      </c>
      <c r="C276" s="8">
        <v>127</v>
      </c>
      <c r="D276" s="4">
        <v>228</v>
      </c>
      <c r="E276" s="8">
        <v>204</v>
      </c>
      <c r="F276">
        <f t="shared" si="146"/>
        <v>1324</v>
      </c>
      <c r="G276">
        <f t="shared" si="147"/>
        <v>1224</v>
      </c>
      <c r="H276" s="4">
        <v>25</v>
      </c>
      <c r="I276" s="4">
        <f t="shared" si="148"/>
        <v>127</v>
      </c>
      <c r="J276" s="4">
        <v>25</v>
      </c>
      <c r="K276" s="4">
        <f t="shared" si="149"/>
        <v>127</v>
      </c>
      <c r="L276">
        <f t="shared" si="144"/>
        <v>612</v>
      </c>
      <c r="M276">
        <f t="shared" si="119"/>
        <v>587</v>
      </c>
      <c r="N276" s="4">
        <v>2</v>
      </c>
      <c r="O276">
        <f t="shared" si="150"/>
        <v>19.100000000000001</v>
      </c>
      <c r="P276" s="21">
        <f t="shared" si="143"/>
        <v>573.04220797804635</v>
      </c>
      <c r="Q276" s="29">
        <f t="shared" si="142"/>
        <v>2.2118349852479787E-2</v>
      </c>
      <c r="R276" s="21">
        <v>450</v>
      </c>
      <c r="S276" s="41">
        <f t="shared" si="116"/>
        <v>3</v>
      </c>
      <c r="T276" s="41">
        <f t="shared" si="117"/>
        <v>2.8774509803921569</v>
      </c>
      <c r="U276" s="4">
        <v>2.36</v>
      </c>
      <c r="V276">
        <v>50.2</v>
      </c>
      <c r="W276" s="61" t="s">
        <v>457</v>
      </c>
      <c r="X276" s="7">
        <f t="shared" si="130"/>
        <v>0.75</v>
      </c>
      <c r="Y276" s="4">
        <v>25</v>
      </c>
      <c r="Z276" s="8">
        <v>2</v>
      </c>
      <c r="AA276">
        <f t="shared" si="151"/>
        <v>0.8771929824561403</v>
      </c>
      <c r="AB276" s="68">
        <v>28.5</v>
      </c>
      <c r="AC276" s="4">
        <v>1000</v>
      </c>
      <c r="AD276" s="7">
        <f t="shared" si="131"/>
        <v>0.42749999999999999</v>
      </c>
      <c r="AE276" s="21">
        <f t="shared" si="126"/>
        <v>66324.479999999996</v>
      </c>
      <c r="AF276" s="68">
        <f t="shared" si="152"/>
        <v>132.64895999999999</v>
      </c>
      <c r="AG276" s="41">
        <v>2.56</v>
      </c>
      <c r="AH276" s="45">
        <f t="shared" si="132"/>
        <v>0.36131675964008747</v>
      </c>
      <c r="AI276" s="45">
        <f t="shared" si="133"/>
        <v>0.69396685169723937</v>
      </c>
      <c r="AJ276" s="21">
        <f t="shared" si="145"/>
        <v>66.324479999999994</v>
      </c>
      <c r="AK276" s="21">
        <f t="shared" si="134"/>
        <v>0.72389999999999999</v>
      </c>
      <c r="AL276" s="21">
        <f t="shared" si="127"/>
        <v>0.4430268</v>
      </c>
      <c r="AM276" s="21">
        <f t="shared" si="118"/>
        <v>66.767506799999992</v>
      </c>
      <c r="AN276" s="41">
        <f t="shared" si="135"/>
        <v>2.5770999999999997</v>
      </c>
      <c r="AO276" s="41">
        <f t="shared" si="136"/>
        <v>0.36373024268299581</v>
      </c>
      <c r="AP276" s="41">
        <f t="shared" si="137"/>
        <v>0.69860233340193567</v>
      </c>
      <c r="AQ276" s="21">
        <f t="shared" si="138"/>
        <v>0.13466132579999998</v>
      </c>
      <c r="AR276" s="21">
        <f t="shared" si="139"/>
        <v>40.590581759999992</v>
      </c>
      <c r="AS276" s="21">
        <f t="shared" si="140"/>
        <v>40.725243085799995</v>
      </c>
      <c r="AT276" s="41">
        <f t="shared" si="141"/>
        <v>2.989980517562703</v>
      </c>
    </row>
    <row r="277" spans="1:46" x14ac:dyDescent="0.25">
      <c r="B277" s="4" t="s">
        <v>293</v>
      </c>
      <c r="C277" s="8">
        <v>63.5</v>
      </c>
      <c r="D277" s="4">
        <v>127</v>
      </c>
      <c r="E277" s="8">
        <v>102</v>
      </c>
      <c r="F277">
        <f t="shared" si="146"/>
        <v>712</v>
      </c>
      <c r="G277">
        <f t="shared" si="147"/>
        <v>612</v>
      </c>
      <c r="H277" s="4">
        <v>12.5</v>
      </c>
      <c r="I277" s="4">
        <f t="shared" si="148"/>
        <v>63.5</v>
      </c>
      <c r="J277" s="4">
        <v>12.5</v>
      </c>
      <c r="K277" s="4">
        <f t="shared" si="149"/>
        <v>63.5</v>
      </c>
      <c r="L277">
        <f t="shared" si="144"/>
        <v>306</v>
      </c>
      <c r="M277">
        <f t="shared" si="119"/>
        <v>293.5</v>
      </c>
      <c r="N277" s="4">
        <v>2</v>
      </c>
      <c r="O277">
        <f t="shared" si="150"/>
        <v>9.5299999999999994</v>
      </c>
      <c r="P277" s="21">
        <f t="shared" si="143"/>
        <v>142.66113611620662</v>
      </c>
      <c r="Q277" s="29">
        <f t="shared" si="142"/>
        <v>2.2025804557079916E-2</v>
      </c>
      <c r="R277" s="21">
        <v>450</v>
      </c>
      <c r="S277" s="41">
        <f t="shared" si="116"/>
        <v>3</v>
      </c>
      <c r="T277" s="41">
        <f t="shared" si="117"/>
        <v>2.8774509803921569</v>
      </c>
      <c r="U277" s="4">
        <v>2.36</v>
      </c>
      <c r="V277">
        <v>62.6</v>
      </c>
      <c r="W277" s="61" t="s">
        <v>457</v>
      </c>
      <c r="X277" s="7">
        <f t="shared" si="130"/>
        <v>0.75</v>
      </c>
      <c r="Y277" s="4">
        <v>25</v>
      </c>
      <c r="Z277" s="8">
        <v>1</v>
      </c>
      <c r="AA277">
        <f t="shared" si="151"/>
        <v>0.8771929824561403</v>
      </c>
      <c r="AB277" s="68">
        <v>28.5</v>
      </c>
      <c r="AC277" s="4">
        <v>1000</v>
      </c>
      <c r="AD277" s="7">
        <f t="shared" si="131"/>
        <v>0.21375</v>
      </c>
      <c r="AE277" s="21">
        <f t="shared" si="126"/>
        <v>17746.98</v>
      </c>
      <c r="AF277" s="68">
        <f t="shared" si="152"/>
        <v>35.493960000000001</v>
      </c>
      <c r="AG277" s="41">
        <v>2.74</v>
      </c>
      <c r="AH277" s="45">
        <f t="shared" si="132"/>
        <v>0.34630869532840769</v>
      </c>
      <c r="AI277" s="45">
        <f t="shared" si="133"/>
        <v>0.6900688947105178</v>
      </c>
      <c r="AJ277" s="21">
        <f t="shared" si="145"/>
        <v>17.746980000000001</v>
      </c>
      <c r="AK277" s="21">
        <f t="shared" si="134"/>
        <v>0.20161249999999997</v>
      </c>
      <c r="AL277" s="21">
        <f t="shared" si="127"/>
        <v>6.1693424999999996E-2</v>
      </c>
      <c r="AM277" s="21">
        <f t="shared" si="118"/>
        <v>17.808673425000002</v>
      </c>
      <c r="AN277" s="41">
        <f t="shared" si="135"/>
        <v>2.7495250000000002</v>
      </c>
      <c r="AO277" s="41">
        <f t="shared" si="136"/>
        <v>0.34751256040979572</v>
      </c>
      <c r="AP277" s="41">
        <f t="shared" si="137"/>
        <v>0.69246776559450229</v>
      </c>
      <c r="AQ277" s="21">
        <f t="shared" si="138"/>
        <v>9.1870784000000014E-3</v>
      </c>
      <c r="AR277" s="21">
        <f t="shared" si="139"/>
        <v>5.4305758800000001</v>
      </c>
      <c r="AS277" s="21">
        <f t="shared" si="140"/>
        <v>5.4397629584000002</v>
      </c>
      <c r="AT277" s="41">
        <f t="shared" si="141"/>
        <v>2.994664909808038</v>
      </c>
    </row>
    <row r="278" spans="1:46" x14ac:dyDescent="0.25">
      <c r="B278" s="4" t="s">
        <v>294</v>
      </c>
      <c r="C278" s="8">
        <v>127</v>
      </c>
      <c r="D278" s="4">
        <v>228</v>
      </c>
      <c r="E278" s="8">
        <v>204</v>
      </c>
      <c r="F278">
        <f t="shared" si="146"/>
        <v>1324</v>
      </c>
      <c r="G278">
        <f t="shared" si="147"/>
        <v>1224</v>
      </c>
      <c r="H278" s="4">
        <v>25</v>
      </c>
      <c r="I278" s="4">
        <f t="shared" si="148"/>
        <v>127</v>
      </c>
      <c r="J278" s="4">
        <v>25</v>
      </c>
      <c r="K278" s="4">
        <f t="shared" si="149"/>
        <v>127</v>
      </c>
      <c r="L278">
        <f t="shared" si="144"/>
        <v>612</v>
      </c>
      <c r="M278">
        <f t="shared" si="119"/>
        <v>587</v>
      </c>
      <c r="N278" s="4">
        <v>2</v>
      </c>
      <c r="O278">
        <f t="shared" si="150"/>
        <v>19.100000000000001</v>
      </c>
      <c r="P278" s="21">
        <f t="shared" si="143"/>
        <v>573.04220797804635</v>
      </c>
      <c r="Q278" s="29">
        <f t="shared" si="142"/>
        <v>2.2118349852479787E-2</v>
      </c>
      <c r="R278" s="21">
        <v>450</v>
      </c>
      <c r="S278" s="41">
        <f t="shared" si="116"/>
        <v>3</v>
      </c>
      <c r="T278" s="41">
        <f t="shared" si="117"/>
        <v>2.8774509803921569</v>
      </c>
      <c r="U278" s="4">
        <v>2.36</v>
      </c>
      <c r="V278">
        <v>62.6</v>
      </c>
      <c r="W278" s="61" t="s">
        <v>457</v>
      </c>
      <c r="X278" s="7">
        <f t="shared" si="130"/>
        <v>0.75</v>
      </c>
      <c r="Y278" s="4">
        <v>25</v>
      </c>
      <c r="Z278" s="8">
        <v>1</v>
      </c>
      <c r="AA278">
        <f t="shared" si="151"/>
        <v>0.8771929824561403</v>
      </c>
      <c r="AB278" s="68">
        <v>28.5</v>
      </c>
      <c r="AC278" s="4">
        <v>1000</v>
      </c>
      <c r="AD278" s="7">
        <f t="shared" si="131"/>
        <v>0.21375</v>
      </c>
      <c r="AE278" s="21">
        <f t="shared" si="126"/>
        <v>61401.96</v>
      </c>
      <c r="AF278" s="68">
        <f t="shared" si="152"/>
        <v>122.80392000000001</v>
      </c>
      <c r="AG278" s="41">
        <v>2.37</v>
      </c>
      <c r="AH278" s="45">
        <f t="shared" si="132"/>
        <v>0.29954438245559351</v>
      </c>
      <c r="AI278" s="45">
        <f t="shared" si="133"/>
        <v>0.59688440892844052</v>
      </c>
      <c r="AJ278" s="21">
        <f t="shared" si="145"/>
        <v>61.401960000000003</v>
      </c>
      <c r="AK278" s="21">
        <f t="shared" si="134"/>
        <v>0.72389999999999999</v>
      </c>
      <c r="AL278" s="21">
        <f t="shared" si="127"/>
        <v>0.4430268</v>
      </c>
      <c r="AM278" s="21">
        <f t="shared" si="118"/>
        <v>61.844986800000001</v>
      </c>
      <c r="AN278" s="41">
        <f t="shared" si="135"/>
        <v>2.3870999999999998</v>
      </c>
      <c r="AO278" s="41">
        <f t="shared" si="136"/>
        <v>0.30170565205052624</v>
      </c>
      <c r="AP278" s="41">
        <f t="shared" si="137"/>
        <v>0.60119104327134187</v>
      </c>
      <c r="AQ278" s="21">
        <f t="shared" si="138"/>
        <v>0.13466132579999998</v>
      </c>
      <c r="AR278" s="21">
        <f t="shared" si="139"/>
        <v>37.577999520000006</v>
      </c>
      <c r="AS278" s="21">
        <f t="shared" si="140"/>
        <v>37.712660845800009</v>
      </c>
      <c r="AT278" s="41">
        <f t="shared" si="141"/>
        <v>2.9891830219977562</v>
      </c>
    </row>
    <row r="279" spans="1:46" x14ac:dyDescent="0.25">
      <c r="B279" s="4" t="s">
        <v>295</v>
      </c>
      <c r="C279" s="8">
        <v>63.5</v>
      </c>
      <c r="D279" s="4">
        <v>127</v>
      </c>
      <c r="E279" s="8">
        <v>102</v>
      </c>
      <c r="F279">
        <f t="shared" si="146"/>
        <v>304</v>
      </c>
      <c r="G279">
        <f t="shared" si="147"/>
        <v>204</v>
      </c>
      <c r="H279" s="4">
        <v>12.5</v>
      </c>
      <c r="I279" s="4">
        <f t="shared" si="148"/>
        <v>63.5</v>
      </c>
      <c r="J279" s="4">
        <v>12.5</v>
      </c>
      <c r="K279" s="4">
        <f t="shared" si="149"/>
        <v>63.5</v>
      </c>
      <c r="L279">
        <f>E279</f>
        <v>102</v>
      </c>
      <c r="M279">
        <f t="shared" si="119"/>
        <v>89.5</v>
      </c>
      <c r="N279" s="4">
        <v>2</v>
      </c>
      <c r="O279">
        <f t="shared" si="150"/>
        <v>9.5299999999999994</v>
      </c>
      <c r="P279" s="21">
        <f t="shared" si="143"/>
        <v>142.66113611620662</v>
      </c>
      <c r="Q279" s="29">
        <f t="shared" si="142"/>
        <v>2.2025804557079916E-2</v>
      </c>
      <c r="R279" s="21">
        <v>450</v>
      </c>
      <c r="S279" s="41">
        <f t="shared" si="116"/>
        <v>1</v>
      </c>
      <c r="T279" s="41">
        <f t="shared" si="117"/>
        <v>0.87745098039215685</v>
      </c>
      <c r="U279" s="4">
        <v>2.36</v>
      </c>
      <c r="V279">
        <v>62.6</v>
      </c>
      <c r="W279" s="61" t="s">
        <v>457</v>
      </c>
      <c r="X279" s="7">
        <f t="shared" si="130"/>
        <v>0.75</v>
      </c>
      <c r="Y279" s="4">
        <v>25</v>
      </c>
      <c r="Z279" s="8">
        <v>1</v>
      </c>
      <c r="AA279">
        <f t="shared" si="151"/>
        <v>0.8771929824561403</v>
      </c>
      <c r="AB279" s="68">
        <v>28.5</v>
      </c>
      <c r="AC279" s="4">
        <v>1000</v>
      </c>
      <c r="AD279" s="7">
        <f t="shared" si="131"/>
        <v>0.21375</v>
      </c>
      <c r="AE279" s="21">
        <f t="shared" si="126"/>
        <v>50650.14</v>
      </c>
      <c r="AF279" s="68">
        <f t="shared" si="152"/>
        <v>101.30028</v>
      </c>
      <c r="AG279" s="41">
        <v>7.82</v>
      </c>
      <c r="AH279" s="45">
        <f t="shared" si="132"/>
        <v>0.98837007206866723</v>
      </c>
      <c r="AI279" s="45">
        <f t="shared" si="133"/>
        <v>1.9694666995022805</v>
      </c>
      <c r="AJ279" s="21">
        <f t="shared" si="145"/>
        <v>50.65014</v>
      </c>
      <c r="AK279" s="21">
        <f t="shared" si="134"/>
        <v>0.20161249999999997</v>
      </c>
      <c r="AL279" s="21">
        <f t="shared" si="127"/>
        <v>2.0564474999999999E-2</v>
      </c>
      <c r="AM279" s="21">
        <f t="shared" si="118"/>
        <v>50.670704475000001</v>
      </c>
      <c r="AN279" s="41">
        <f t="shared" si="135"/>
        <v>7.823175</v>
      </c>
      <c r="AO279" s="41">
        <f t="shared" si="136"/>
        <v>0.98877136042912983</v>
      </c>
      <c r="AP279" s="41">
        <f t="shared" si="137"/>
        <v>1.9702663231302753</v>
      </c>
      <c r="AQ279" s="21">
        <f t="shared" si="138"/>
        <v>7.9677259999999962E-4</v>
      </c>
      <c r="AR279" s="21">
        <f t="shared" si="139"/>
        <v>5.1663142799999999</v>
      </c>
      <c r="AS279" s="21">
        <f t="shared" si="140"/>
        <v>5.1671110526000001</v>
      </c>
      <c r="AT279" s="41">
        <f t="shared" si="141"/>
        <v>0.99974831652621166</v>
      </c>
    </row>
    <row r="280" spans="1:46" x14ac:dyDescent="0.25">
      <c r="B280" s="4" t="s">
        <v>296</v>
      </c>
      <c r="C280" s="8">
        <v>63.5</v>
      </c>
      <c r="D280" s="4">
        <v>127</v>
      </c>
      <c r="E280" s="8">
        <v>102</v>
      </c>
      <c r="F280">
        <f t="shared" si="146"/>
        <v>406</v>
      </c>
      <c r="G280">
        <f t="shared" si="147"/>
        <v>306</v>
      </c>
      <c r="H280" s="4">
        <v>12.5</v>
      </c>
      <c r="I280" s="4">
        <f t="shared" si="148"/>
        <v>63.5</v>
      </c>
      <c r="J280" s="4">
        <v>12.5</v>
      </c>
      <c r="K280" s="4">
        <f t="shared" si="149"/>
        <v>63.5</v>
      </c>
      <c r="L280">
        <f>1.5*E280</f>
        <v>153</v>
      </c>
      <c r="M280">
        <f t="shared" si="119"/>
        <v>140.5</v>
      </c>
      <c r="N280" s="4">
        <v>2</v>
      </c>
      <c r="O280">
        <f t="shared" si="150"/>
        <v>9.5299999999999994</v>
      </c>
      <c r="P280" s="21">
        <f t="shared" si="143"/>
        <v>142.66113611620662</v>
      </c>
      <c r="Q280" s="29">
        <f t="shared" si="142"/>
        <v>2.2025804557079916E-2</v>
      </c>
      <c r="R280" s="21">
        <v>450</v>
      </c>
      <c r="S280" s="41">
        <f t="shared" si="116"/>
        <v>1.5</v>
      </c>
      <c r="T280" s="41">
        <f t="shared" si="117"/>
        <v>1.3774509803921569</v>
      </c>
      <c r="U280" s="4">
        <v>2.36</v>
      </c>
      <c r="V280">
        <v>62.6</v>
      </c>
      <c r="W280" s="61" t="s">
        <v>457</v>
      </c>
      <c r="X280" s="7">
        <f t="shared" si="130"/>
        <v>0.75</v>
      </c>
      <c r="Y280" s="4">
        <v>25</v>
      </c>
      <c r="Z280" s="8">
        <v>1</v>
      </c>
      <c r="AA280">
        <f t="shared" si="151"/>
        <v>0.8771929824561403</v>
      </c>
      <c r="AB280" s="68">
        <v>28.5</v>
      </c>
      <c r="AC280" s="4">
        <v>1000</v>
      </c>
      <c r="AD280" s="7">
        <f t="shared" si="131"/>
        <v>0.21375</v>
      </c>
      <c r="AE280" s="21">
        <f t="shared" si="126"/>
        <v>33356.550000000003</v>
      </c>
      <c r="AF280" s="68">
        <f t="shared" si="152"/>
        <v>66.713100000000011</v>
      </c>
      <c r="AG280" s="41">
        <v>5.15</v>
      </c>
      <c r="AH280" s="45">
        <f t="shared" si="132"/>
        <v>0.65090867917565687</v>
      </c>
      <c r="AI280" s="45">
        <f t="shared" si="133"/>
        <v>1.2970273021018857</v>
      </c>
      <c r="AJ280" s="21">
        <f t="shared" si="145"/>
        <v>33.356550000000006</v>
      </c>
      <c r="AK280" s="21">
        <f t="shared" si="134"/>
        <v>0.20161249999999997</v>
      </c>
      <c r="AL280" s="21">
        <f t="shared" si="127"/>
        <v>3.0846712499999991E-2</v>
      </c>
      <c r="AM280" s="21">
        <f t="shared" si="118"/>
        <v>33.387396712500006</v>
      </c>
      <c r="AN280" s="41">
        <f t="shared" si="135"/>
        <v>5.1547625000000012</v>
      </c>
      <c r="AO280" s="41">
        <f t="shared" si="136"/>
        <v>0.65151061171635094</v>
      </c>
      <c r="AP280" s="41">
        <f t="shared" si="137"/>
        <v>1.2982267375438781</v>
      </c>
      <c r="AQ280" s="21">
        <f t="shared" si="138"/>
        <v>2.1077578812500001E-3</v>
      </c>
      <c r="AR280" s="21">
        <f t="shared" si="139"/>
        <v>5.1035521500000005</v>
      </c>
      <c r="AS280" s="21">
        <f t="shared" si="140"/>
        <v>5.1056599078812503</v>
      </c>
      <c r="AT280" s="41">
        <f t="shared" si="141"/>
        <v>1.499233070609935</v>
      </c>
    </row>
    <row r="281" spans="1:46" x14ac:dyDescent="0.25">
      <c r="B281" s="4" t="s">
        <v>297</v>
      </c>
      <c r="C281" s="8">
        <v>63.5</v>
      </c>
      <c r="D281" s="4">
        <v>127</v>
      </c>
      <c r="E281" s="8">
        <v>102</v>
      </c>
      <c r="F281">
        <f t="shared" si="146"/>
        <v>457</v>
      </c>
      <c r="G281">
        <f t="shared" si="147"/>
        <v>357</v>
      </c>
      <c r="H281" s="4">
        <v>12.5</v>
      </c>
      <c r="I281" s="4">
        <f t="shared" si="148"/>
        <v>63.5</v>
      </c>
      <c r="J281" s="4">
        <v>12.5</v>
      </c>
      <c r="K281" s="4">
        <f t="shared" si="149"/>
        <v>63.5</v>
      </c>
      <c r="L281">
        <f>1.75*E281</f>
        <v>178.5</v>
      </c>
      <c r="M281">
        <f t="shared" si="119"/>
        <v>166</v>
      </c>
      <c r="N281" s="4">
        <v>2</v>
      </c>
      <c r="O281">
        <f t="shared" si="150"/>
        <v>9.5299999999999994</v>
      </c>
      <c r="P281" s="21">
        <f t="shared" si="143"/>
        <v>142.66113611620662</v>
      </c>
      <c r="Q281" s="29">
        <f t="shared" si="142"/>
        <v>2.2025804557079916E-2</v>
      </c>
      <c r="R281" s="21">
        <v>450</v>
      </c>
      <c r="S281" s="41">
        <f t="shared" si="116"/>
        <v>1.75</v>
      </c>
      <c r="T281" s="41">
        <f t="shared" si="117"/>
        <v>1.6274509803921569</v>
      </c>
      <c r="U281" s="4">
        <v>2.36</v>
      </c>
      <c r="V281">
        <v>62.6</v>
      </c>
      <c r="W281" s="61" t="s">
        <v>457</v>
      </c>
      <c r="X281" s="7">
        <f t="shared" si="130"/>
        <v>0.75</v>
      </c>
      <c r="Y281" s="4">
        <v>25</v>
      </c>
      <c r="Z281" s="8">
        <v>1</v>
      </c>
      <c r="AA281">
        <f t="shared" si="151"/>
        <v>0.8771929824561403</v>
      </c>
      <c r="AB281" s="68">
        <v>28.5</v>
      </c>
      <c r="AC281" s="4">
        <v>1000</v>
      </c>
      <c r="AD281" s="7">
        <f t="shared" si="131"/>
        <v>0.21375</v>
      </c>
      <c r="AE281" s="21">
        <f t="shared" si="126"/>
        <v>30053.279999999999</v>
      </c>
      <c r="AF281" s="68">
        <f t="shared" si="152"/>
        <v>60.106559999999995</v>
      </c>
      <c r="AG281" s="41">
        <v>4.6399999999999997</v>
      </c>
      <c r="AH281" s="45">
        <f t="shared" si="132"/>
        <v>0.58644976143204797</v>
      </c>
      <c r="AI281" s="45">
        <f t="shared" si="133"/>
        <v>1.1685838216995628</v>
      </c>
      <c r="AJ281" s="21">
        <f t="shared" si="145"/>
        <v>30.053279999999997</v>
      </c>
      <c r="AK281" s="21">
        <f t="shared" si="134"/>
        <v>0.20161249999999997</v>
      </c>
      <c r="AL281" s="21">
        <f t="shared" si="127"/>
        <v>3.5987831249999998E-2</v>
      </c>
      <c r="AM281" s="21">
        <f t="shared" si="118"/>
        <v>30.089267831249998</v>
      </c>
      <c r="AN281" s="41">
        <f t="shared" si="135"/>
        <v>4.6455562500000003</v>
      </c>
      <c r="AO281" s="41">
        <f t="shared" si="136"/>
        <v>0.58715201606285772</v>
      </c>
      <c r="AP281" s="41">
        <f t="shared" si="137"/>
        <v>1.169983163048554</v>
      </c>
      <c r="AQ281" s="21">
        <f t="shared" si="138"/>
        <v>2.9598983140625007E-3</v>
      </c>
      <c r="AR281" s="21">
        <f t="shared" si="139"/>
        <v>5.3645104799999999</v>
      </c>
      <c r="AS281" s="21">
        <f t="shared" si="140"/>
        <v>5.3674703783140627</v>
      </c>
      <c r="AT281" s="41">
        <f t="shared" si="141"/>
        <v>1.748871355263419</v>
      </c>
    </row>
    <row r="282" spans="1:46" x14ac:dyDescent="0.25">
      <c r="B282" s="4" t="s">
        <v>298</v>
      </c>
      <c r="C282" s="8">
        <v>63.5</v>
      </c>
      <c r="D282" s="4">
        <v>127</v>
      </c>
      <c r="E282" s="8">
        <v>102</v>
      </c>
      <c r="F282">
        <f t="shared" si="146"/>
        <v>508</v>
      </c>
      <c r="G282">
        <f t="shared" si="147"/>
        <v>408</v>
      </c>
      <c r="H282" s="4">
        <v>12.5</v>
      </c>
      <c r="I282" s="4">
        <f t="shared" si="148"/>
        <v>63.5</v>
      </c>
      <c r="J282" s="4">
        <v>12.5</v>
      </c>
      <c r="K282" s="4">
        <f t="shared" si="149"/>
        <v>63.5</v>
      </c>
      <c r="L282">
        <f>2*E282</f>
        <v>204</v>
      </c>
      <c r="M282">
        <f t="shared" si="119"/>
        <v>191.5</v>
      </c>
      <c r="N282" s="4">
        <v>2</v>
      </c>
      <c r="O282">
        <f t="shared" si="150"/>
        <v>9.5299999999999994</v>
      </c>
      <c r="P282" s="21">
        <f t="shared" si="143"/>
        <v>142.66113611620662</v>
      </c>
      <c r="Q282" s="29">
        <f t="shared" si="142"/>
        <v>2.2025804557079916E-2</v>
      </c>
      <c r="R282" s="21">
        <v>450</v>
      </c>
      <c r="S282" s="41">
        <f t="shared" ref="S282:S359" si="153">L282/E282</f>
        <v>2</v>
      </c>
      <c r="T282" s="41">
        <f t="shared" ref="T282:T359" si="154">M282/E282</f>
        <v>1.8774509803921569</v>
      </c>
      <c r="U282" s="4">
        <v>2.36</v>
      </c>
      <c r="V282">
        <v>62.6</v>
      </c>
      <c r="W282" s="61" t="s">
        <v>457</v>
      </c>
      <c r="X282" s="7">
        <f t="shared" si="130"/>
        <v>0.75</v>
      </c>
      <c r="Y282" s="4">
        <v>25</v>
      </c>
      <c r="Z282" s="8">
        <v>1</v>
      </c>
      <c r="AA282">
        <f t="shared" si="151"/>
        <v>0.8771929824561403</v>
      </c>
      <c r="AB282" s="68">
        <v>28.5</v>
      </c>
      <c r="AC282" s="4">
        <v>1000</v>
      </c>
      <c r="AD282" s="7">
        <f t="shared" si="131"/>
        <v>0.21375</v>
      </c>
      <c r="AE282" s="21">
        <f t="shared" si="126"/>
        <v>25843.23</v>
      </c>
      <c r="AF282" s="68">
        <f t="shared" si="152"/>
        <v>51.686459999999997</v>
      </c>
      <c r="AG282" s="41">
        <v>3.99</v>
      </c>
      <c r="AH282" s="45">
        <f t="shared" si="132"/>
        <v>0.50429623881764485</v>
      </c>
      <c r="AI282" s="45">
        <f t="shared" si="133"/>
        <v>1.0048813466769948</v>
      </c>
      <c r="AJ282" s="21">
        <f t="shared" si="145"/>
        <v>25.843229999999998</v>
      </c>
      <c r="AK282" s="21">
        <f t="shared" si="134"/>
        <v>0.20161249999999997</v>
      </c>
      <c r="AL282" s="21">
        <f t="shared" si="127"/>
        <v>4.1128949999999984E-2</v>
      </c>
      <c r="AM282" s="21">
        <f t="shared" si="118"/>
        <v>25.884358949999999</v>
      </c>
      <c r="AN282" s="41">
        <f t="shared" si="135"/>
        <v>3.9963499999999996</v>
      </c>
      <c r="AO282" s="41">
        <f t="shared" si="136"/>
        <v>0.50509881553857006</v>
      </c>
      <c r="AP282" s="41">
        <f t="shared" si="137"/>
        <v>1.0064805939329844</v>
      </c>
      <c r="AQ282" s="21">
        <f t="shared" si="138"/>
        <v>3.9431372749999987E-3</v>
      </c>
      <c r="AR282" s="21">
        <f t="shared" si="139"/>
        <v>5.2720189199999998</v>
      </c>
      <c r="AS282" s="21">
        <f t="shared" si="140"/>
        <v>5.2759620572749997</v>
      </c>
      <c r="AT282" s="41">
        <f t="shared" si="141"/>
        <v>1.9983155970172648</v>
      </c>
    </row>
    <row r="283" spans="1:46" x14ac:dyDescent="0.25">
      <c r="B283" s="4" t="s">
        <v>299</v>
      </c>
      <c r="C283" s="8">
        <v>63.5</v>
      </c>
      <c r="D283" s="4">
        <v>127</v>
      </c>
      <c r="E283" s="8">
        <v>102</v>
      </c>
      <c r="F283">
        <f t="shared" si="146"/>
        <v>559</v>
      </c>
      <c r="G283">
        <f t="shared" si="147"/>
        <v>459</v>
      </c>
      <c r="H283" s="4">
        <v>12.5</v>
      </c>
      <c r="I283" s="4">
        <f t="shared" si="148"/>
        <v>63.5</v>
      </c>
      <c r="J283" s="4">
        <v>12.5</v>
      </c>
      <c r="K283" s="4">
        <f t="shared" si="149"/>
        <v>63.5</v>
      </c>
      <c r="L283">
        <f>2.25*E283</f>
        <v>229.5</v>
      </c>
      <c r="M283">
        <f t="shared" si="119"/>
        <v>217</v>
      </c>
      <c r="N283" s="4">
        <v>2</v>
      </c>
      <c r="O283">
        <f t="shared" si="150"/>
        <v>9.5299999999999994</v>
      </c>
      <c r="P283" s="21">
        <f t="shared" si="143"/>
        <v>142.66113611620662</v>
      </c>
      <c r="Q283" s="29">
        <f t="shared" si="142"/>
        <v>2.2025804557079916E-2</v>
      </c>
      <c r="R283" s="21">
        <v>450</v>
      </c>
      <c r="S283" s="41">
        <f t="shared" si="153"/>
        <v>2.25</v>
      </c>
      <c r="T283" s="41">
        <f t="shared" si="154"/>
        <v>2.1274509803921569</v>
      </c>
      <c r="U283" s="4">
        <v>2.36</v>
      </c>
      <c r="V283">
        <v>62.6</v>
      </c>
      <c r="W283" s="61" t="s">
        <v>457</v>
      </c>
      <c r="X283" s="7">
        <f t="shared" si="130"/>
        <v>0.75</v>
      </c>
      <c r="Y283" s="4">
        <v>25</v>
      </c>
      <c r="Z283" s="8">
        <v>1</v>
      </c>
      <c r="AA283">
        <f t="shared" si="151"/>
        <v>0.8771929824561403</v>
      </c>
      <c r="AB283" s="68">
        <v>28.5</v>
      </c>
      <c r="AC283" s="4">
        <v>1000</v>
      </c>
      <c r="AD283" s="7">
        <f t="shared" si="131"/>
        <v>0.21375</v>
      </c>
      <c r="AE283" s="21">
        <f t="shared" si="126"/>
        <v>23446.74</v>
      </c>
      <c r="AF283" s="68">
        <f t="shared" si="152"/>
        <v>46.893480000000004</v>
      </c>
      <c r="AG283" s="41">
        <v>3.62</v>
      </c>
      <c r="AH283" s="45">
        <f t="shared" si="132"/>
        <v>0.45753192594483061</v>
      </c>
      <c r="AI283" s="45">
        <f t="shared" si="133"/>
        <v>0.91169686089491753</v>
      </c>
      <c r="AJ283" s="21">
        <f t="shared" si="145"/>
        <v>23.446740000000002</v>
      </c>
      <c r="AK283" s="21">
        <f t="shared" si="134"/>
        <v>0.20161249999999997</v>
      </c>
      <c r="AL283" s="21">
        <f t="shared" si="127"/>
        <v>4.627006874999999E-2</v>
      </c>
      <c r="AM283" s="21">
        <f t="shared" ref="AM283:AM346" si="155">AJ283+AL283</f>
        <v>23.493010068750003</v>
      </c>
      <c r="AN283" s="41">
        <f t="shared" si="135"/>
        <v>3.6271437500000001</v>
      </c>
      <c r="AO283" s="41">
        <f t="shared" si="136"/>
        <v>0.45843482475587161</v>
      </c>
      <c r="AP283" s="41">
        <f t="shared" si="137"/>
        <v>0.91349601405790604</v>
      </c>
      <c r="AQ283" s="21">
        <f t="shared" si="138"/>
        <v>5.0574747640624983E-3</v>
      </c>
      <c r="AR283" s="21">
        <f t="shared" si="139"/>
        <v>5.3810268300000006</v>
      </c>
      <c r="AS283" s="21">
        <f t="shared" si="140"/>
        <v>5.3860843047640632</v>
      </c>
      <c r="AT283" s="41">
        <f t="shared" si="141"/>
        <v>2.2476791152514828</v>
      </c>
    </row>
    <row r="284" spans="1:46" x14ac:dyDescent="0.25">
      <c r="B284" s="4" t="s">
        <v>300</v>
      </c>
      <c r="C284" s="8">
        <v>63.5</v>
      </c>
      <c r="D284" s="4">
        <v>127</v>
      </c>
      <c r="E284" s="8">
        <v>102</v>
      </c>
      <c r="F284">
        <f t="shared" si="146"/>
        <v>610</v>
      </c>
      <c r="G284">
        <f t="shared" si="147"/>
        <v>510</v>
      </c>
      <c r="H284" s="4">
        <v>12.5</v>
      </c>
      <c r="I284" s="4">
        <f t="shared" si="148"/>
        <v>63.5</v>
      </c>
      <c r="J284" s="4">
        <v>12.5</v>
      </c>
      <c r="K284" s="4">
        <f t="shared" si="149"/>
        <v>63.5</v>
      </c>
      <c r="L284">
        <f>2.5*E284</f>
        <v>255</v>
      </c>
      <c r="M284">
        <f t="shared" si="119"/>
        <v>242.5</v>
      </c>
      <c r="N284" s="4">
        <v>2</v>
      </c>
      <c r="O284">
        <f t="shared" si="150"/>
        <v>9.5299999999999994</v>
      </c>
      <c r="P284" s="21">
        <f t="shared" si="143"/>
        <v>142.66113611620662</v>
      </c>
      <c r="Q284" s="29">
        <f t="shared" si="142"/>
        <v>2.2025804557079916E-2</v>
      </c>
      <c r="R284" s="21">
        <v>450</v>
      </c>
      <c r="S284" s="41">
        <f t="shared" si="153"/>
        <v>2.5</v>
      </c>
      <c r="T284" s="41">
        <f t="shared" si="154"/>
        <v>2.3774509803921569</v>
      </c>
      <c r="U284" s="4">
        <v>2.36</v>
      </c>
      <c r="V284">
        <v>62.6</v>
      </c>
      <c r="W284" s="61" t="s">
        <v>457</v>
      </c>
      <c r="X284" s="7">
        <f t="shared" si="130"/>
        <v>0.75</v>
      </c>
      <c r="Y284" s="4">
        <v>25</v>
      </c>
      <c r="Z284" s="8">
        <v>1</v>
      </c>
      <c r="AA284">
        <f t="shared" si="151"/>
        <v>0.8771929824561403</v>
      </c>
      <c r="AB284" s="68">
        <v>28.5</v>
      </c>
      <c r="AC284" s="4">
        <v>1000</v>
      </c>
      <c r="AD284" s="7">
        <f t="shared" si="131"/>
        <v>0.21375</v>
      </c>
      <c r="AE284" s="21">
        <f t="shared" si="126"/>
        <v>20532.09</v>
      </c>
      <c r="AF284" s="68">
        <f t="shared" si="152"/>
        <v>41.06418</v>
      </c>
      <c r="AG284" s="41">
        <v>3.17</v>
      </c>
      <c r="AH284" s="45">
        <f t="shared" si="132"/>
        <v>0.40065641028870524</v>
      </c>
      <c r="AI284" s="45">
        <f t="shared" si="133"/>
        <v>0.7983643781869858</v>
      </c>
      <c r="AJ284" s="21">
        <f t="shared" si="145"/>
        <v>20.53209</v>
      </c>
      <c r="AK284" s="21">
        <f t="shared" si="134"/>
        <v>0.20161249999999997</v>
      </c>
      <c r="AL284" s="21">
        <f t="shared" si="127"/>
        <v>5.141118749999999E-2</v>
      </c>
      <c r="AM284" s="21">
        <f t="shared" si="155"/>
        <v>20.583501187500001</v>
      </c>
      <c r="AN284" s="41">
        <f t="shared" si="135"/>
        <v>3.1779375000000001</v>
      </c>
      <c r="AO284" s="41">
        <f t="shared" si="136"/>
        <v>0.40165963118986192</v>
      </c>
      <c r="AP284" s="41">
        <f t="shared" si="137"/>
        <v>0.80036343725697301</v>
      </c>
      <c r="AQ284" s="21">
        <f t="shared" si="138"/>
        <v>6.3029107812500006E-3</v>
      </c>
      <c r="AR284" s="21">
        <f t="shared" si="139"/>
        <v>5.2356829500000002</v>
      </c>
      <c r="AS284" s="21">
        <f t="shared" si="140"/>
        <v>5.2419858607812504</v>
      </c>
      <c r="AT284" s="41">
        <f t="shared" si="141"/>
        <v>2.4967578535260513</v>
      </c>
    </row>
    <row r="285" spans="1:46" x14ac:dyDescent="0.25">
      <c r="B285" s="4" t="s">
        <v>301</v>
      </c>
      <c r="C285" s="8">
        <v>63.5</v>
      </c>
      <c r="D285" s="4">
        <v>127</v>
      </c>
      <c r="E285" s="8">
        <v>102</v>
      </c>
      <c r="F285">
        <f t="shared" si="146"/>
        <v>661</v>
      </c>
      <c r="G285">
        <f t="shared" si="147"/>
        <v>561</v>
      </c>
      <c r="H285" s="4">
        <v>12.5</v>
      </c>
      <c r="I285" s="4">
        <f t="shared" si="148"/>
        <v>63.5</v>
      </c>
      <c r="J285" s="4">
        <v>12.5</v>
      </c>
      <c r="K285" s="4">
        <f t="shared" si="149"/>
        <v>63.5</v>
      </c>
      <c r="L285">
        <f>2.75*E285</f>
        <v>280.5</v>
      </c>
      <c r="M285">
        <f t="shared" si="119"/>
        <v>268</v>
      </c>
      <c r="N285" s="4">
        <v>2</v>
      </c>
      <c r="O285">
        <f t="shared" si="150"/>
        <v>9.5299999999999994</v>
      </c>
      <c r="P285" s="21">
        <f t="shared" si="143"/>
        <v>142.66113611620662</v>
      </c>
      <c r="Q285" s="29">
        <f t="shared" si="142"/>
        <v>2.2025804557079916E-2</v>
      </c>
      <c r="R285" s="21">
        <v>450</v>
      </c>
      <c r="S285" s="41">
        <f t="shared" si="153"/>
        <v>2.75</v>
      </c>
      <c r="T285" s="41">
        <f t="shared" si="154"/>
        <v>2.6274509803921569</v>
      </c>
      <c r="U285" s="4">
        <v>2.36</v>
      </c>
      <c r="V285">
        <v>62.6</v>
      </c>
      <c r="W285" s="61" t="s">
        <v>457</v>
      </c>
      <c r="X285" s="7">
        <f t="shared" si="130"/>
        <v>0.75</v>
      </c>
      <c r="Y285" s="4">
        <v>25</v>
      </c>
      <c r="Z285" s="8">
        <v>1</v>
      </c>
      <c r="AA285">
        <f t="shared" si="151"/>
        <v>0.8771929824561403</v>
      </c>
      <c r="AB285" s="68">
        <v>28.5</v>
      </c>
      <c r="AC285" s="4">
        <v>1000</v>
      </c>
      <c r="AD285" s="7">
        <f t="shared" si="131"/>
        <v>0.21375</v>
      </c>
      <c r="AE285" s="21">
        <f t="shared" si="126"/>
        <v>17811.75</v>
      </c>
      <c r="AF285" s="68">
        <f t="shared" si="152"/>
        <v>35.6235</v>
      </c>
      <c r="AG285" s="41">
        <v>2.75</v>
      </c>
      <c r="AH285" s="45">
        <f t="shared" si="132"/>
        <v>0.34757259567632159</v>
      </c>
      <c r="AI285" s="45">
        <f t="shared" si="133"/>
        <v>0.69258739432624949</v>
      </c>
      <c r="AJ285" s="21">
        <f t="shared" si="145"/>
        <v>17.81175</v>
      </c>
      <c r="AK285" s="21">
        <f t="shared" si="134"/>
        <v>0.20161249999999997</v>
      </c>
      <c r="AL285" s="21">
        <f t="shared" si="127"/>
        <v>5.655230624999999E-2</v>
      </c>
      <c r="AM285" s="21">
        <f t="shared" si="155"/>
        <v>17.868302306250001</v>
      </c>
      <c r="AN285" s="41">
        <f t="shared" si="135"/>
        <v>2.7587312499999999</v>
      </c>
      <c r="AO285" s="41">
        <f t="shared" si="136"/>
        <v>0.34867613866759389</v>
      </c>
      <c r="AP285" s="41">
        <f t="shared" si="137"/>
        <v>0.69478635930323529</v>
      </c>
      <c r="AQ285" s="21">
        <f t="shared" si="138"/>
        <v>7.6794453265624976E-3</v>
      </c>
      <c r="AR285" s="21">
        <f t="shared" si="139"/>
        <v>4.9961958750000006</v>
      </c>
      <c r="AS285" s="21">
        <f t="shared" si="140"/>
        <v>5.0038753203265633</v>
      </c>
      <c r="AT285" s="41">
        <f t="shared" si="141"/>
        <v>2.745509916882968</v>
      </c>
    </row>
    <row r="286" spans="1:46" x14ac:dyDescent="0.25">
      <c r="B286" s="4" t="s">
        <v>302</v>
      </c>
      <c r="C286" s="8">
        <v>63.5</v>
      </c>
      <c r="D286" s="4">
        <v>127</v>
      </c>
      <c r="E286" s="8">
        <v>102</v>
      </c>
      <c r="F286">
        <f t="shared" si="146"/>
        <v>712</v>
      </c>
      <c r="G286">
        <f t="shared" si="147"/>
        <v>612</v>
      </c>
      <c r="H286" s="4">
        <v>12.5</v>
      </c>
      <c r="I286" s="4">
        <f t="shared" si="148"/>
        <v>63.5</v>
      </c>
      <c r="J286" s="4">
        <v>12.5</v>
      </c>
      <c r="K286" s="4">
        <f t="shared" si="149"/>
        <v>63.5</v>
      </c>
      <c r="L286">
        <f t="shared" ref="L286:L291" si="156">3*E286</f>
        <v>306</v>
      </c>
      <c r="M286">
        <f t="shared" si="119"/>
        <v>293.5</v>
      </c>
      <c r="N286" s="4">
        <v>1</v>
      </c>
      <c r="O286">
        <f t="shared" si="150"/>
        <v>9.5299999999999994</v>
      </c>
      <c r="P286" s="21">
        <f t="shared" si="143"/>
        <v>71.33056805810331</v>
      </c>
      <c r="Q286" s="29">
        <f t="shared" si="142"/>
        <v>1.1012902278539958E-2</v>
      </c>
      <c r="R286" s="21">
        <v>450</v>
      </c>
      <c r="S286" s="41">
        <f t="shared" si="153"/>
        <v>3</v>
      </c>
      <c r="T286" s="41">
        <f t="shared" si="154"/>
        <v>2.8774509803921569</v>
      </c>
      <c r="U286" s="4">
        <v>2.36</v>
      </c>
      <c r="V286">
        <v>62.6</v>
      </c>
      <c r="W286" s="61" t="s">
        <v>457</v>
      </c>
      <c r="X286" s="7">
        <f t="shared" si="130"/>
        <v>0.75</v>
      </c>
      <c r="Y286" s="4">
        <v>25</v>
      </c>
      <c r="Z286" s="8">
        <v>1</v>
      </c>
      <c r="AA286">
        <f t="shared" si="151"/>
        <v>0.8771929824561403</v>
      </c>
      <c r="AB286" s="68">
        <v>28.5</v>
      </c>
      <c r="AC286" s="4">
        <v>1000</v>
      </c>
      <c r="AD286" s="7">
        <f t="shared" si="131"/>
        <v>0.21375</v>
      </c>
      <c r="AE286" s="21">
        <f t="shared" si="126"/>
        <v>12824.460000000001</v>
      </c>
      <c r="AF286" s="68">
        <f t="shared" si="152"/>
        <v>25.64892</v>
      </c>
      <c r="AG286" s="41">
        <v>1.98</v>
      </c>
      <c r="AH286" s="45">
        <f t="shared" si="132"/>
        <v>0.25025226888695151</v>
      </c>
      <c r="AI286" s="45">
        <f t="shared" si="133"/>
        <v>0.49866292391489964</v>
      </c>
      <c r="AJ286" s="21">
        <f t="shared" si="145"/>
        <v>12.82446</v>
      </c>
      <c r="AK286" s="21">
        <f t="shared" si="134"/>
        <v>0.20161249999999997</v>
      </c>
      <c r="AL286" s="21">
        <f t="shared" si="127"/>
        <v>6.1693424999999996E-2</v>
      </c>
      <c r="AM286" s="21">
        <f t="shared" si="155"/>
        <v>12.886153425</v>
      </c>
      <c r="AN286" s="41">
        <f t="shared" si="135"/>
        <v>1.989525</v>
      </c>
      <c r="AO286" s="41">
        <f t="shared" si="136"/>
        <v>0.25145613396833955</v>
      </c>
      <c r="AP286" s="41">
        <f t="shared" si="137"/>
        <v>0.50106179479888424</v>
      </c>
      <c r="AQ286" s="21">
        <f t="shared" si="138"/>
        <v>9.1870784000000014E-3</v>
      </c>
      <c r="AR286" s="21">
        <f t="shared" si="139"/>
        <v>3.9242847599999999</v>
      </c>
      <c r="AS286" s="21">
        <f t="shared" si="140"/>
        <v>3.9334718384</v>
      </c>
      <c r="AT286" s="41">
        <f t="shared" si="141"/>
        <v>2.9926269014664033</v>
      </c>
    </row>
    <row r="287" spans="1:46" x14ac:dyDescent="0.25">
      <c r="B287" s="4" t="s">
        <v>303</v>
      </c>
      <c r="C287" s="8">
        <v>63.5</v>
      </c>
      <c r="D287" s="4">
        <v>127</v>
      </c>
      <c r="E287" s="8">
        <v>102</v>
      </c>
      <c r="F287">
        <f t="shared" si="146"/>
        <v>712</v>
      </c>
      <c r="G287">
        <f t="shared" si="147"/>
        <v>612</v>
      </c>
      <c r="H287" s="4">
        <v>12.5</v>
      </c>
      <c r="I287" s="4">
        <f t="shared" si="148"/>
        <v>63.5</v>
      </c>
      <c r="J287" s="4">
        <v>12.5</v>
      </c>
      <c r="K287" s="4">
        <f t="shared" si="149"/>
        <v>63.5</v>
      </c>
      <c r="L287">
        <f t="shared" si="156"/>
        <v>306</v>
      </c>
      <c r="M287">
        <f t="shared" si="119"/>
        <v>293.5</v>
      </c>
      <c r="N287" s="4">
        <v>3</v>
      </c>
      <c r="O287">
        <f t="shared" si="150"/>
        <v>9.5299999999999994</v>
      </c>
      <c r="P287" s="21">
        <f t="shared" si="143"/>
        <v>213.99170417430992</v>
      </c>
      <c r="Q287" s="29">
        <f t="shared" si="142"/>
        <v>3.3038706835619873E-2</v>
      </c>
      <c r="R287" s="21">
        <v>450</v>
      </c>
      <c r="S287" s="41">
        <f t="shared" si="153"/>
        <v>3</v>
      </c>
      <c r="T287" s="41">
        <f t="shared" si="154"/>
        <v>2.8774509803921569</v>
      </c>
      <c r="U287" s="4">
        <v>2.36</v>
      </c>
      <c r="V287">
        <v>62.6</v>
      </c>
      <c r="W287" s="61" t="s">
        <v>457</v>
      </c>
      <c r="X287" s="7">
        <f t="shared" si="130"/>
        <v>0.75</v>
      </c>
      <c r="Y287" s="4">
        <v>25</v>
      </c>
      <c r="Z287" s="8">
        <v>1</v>
      </c>
      <c r="AA287">
        <f t="shared" si="151"/>
        <v>0.8771929824561403</v>
      </c>
      <c r="AB287" s="68">
        <v>28.5</v>
      </c>
      <c r="AC287" s="4">
        <v>1000</v>
      </c>
      <c r="AD287" s="7">
        <f t="shared" si="131"/>
        <v>0.21375</v>
      </c>
      <c r="AE287" s="21">
        <f t="shared" si="126"/>
        <v>17811.75</v>
      </c>
      <c r="AF287" s="68">
        <f t="shared" si="152"/>
        <v>35.6235</v>
      </c>
      <c r="AG287" s="41">
        <v>2.75</v>
      </c>
      <c r="AH287" s="45">
        <f t="shared" si="132"/>
        <v>0.34757259567632159</v>
      </c>
      <c r="AI287" s="45">
        <f t="shared" si="133"/>
        <v>0.69258739432624949</v>
      </c>
      <c r="AJ287" s="21">
        <f t="shared" si="145"/>
        <v>17.81175</v>
      </c>
      <c r="AK287" s="21">
        <f t="shared" si="134"/>
        <v>0.20161249999999997</v>
      </c>
      <c r="AL287" s="21">
        <f t="shared" si="127"/>
        <v>6.1693424999999996E-2</v>
      </c>
      <c r="AM287" s="21">
        <f t="shared" si="155"/>
        <v>17.873443425000001</v>
      </c>
      <c r="AN287" s="41">
        <f t="shared" si="135"/>
        <v>2.759525</v>
      </c>
      <c r="AO287" s="41">
        <f t="shared" si="136"/>
        <v>0.34877646075770957</v>
      </c>
      <c r="AP287" s="41">
        <f t="shared" si="137"/>
        <v>0.6949862652102341</v>
      </c>
      <c r="AQ287" s="21">
        <f t="shared" si="138"/>
        <v>9.1870784000000014E-3</v>
      </c>
      <c r="AR287" s="21">
        <f t="shared" si="139"/>
        <v>5.4503954999999999</v>
      </c>
      <c r="AS287" s="21">
        <f t="shared" si="140"/>
        <v>5.4595825784000001</v>
      </c>
      <c r="AT287" s="41">
        <f t="shared" si="141"/>
        <v>2.9946842431722653</v>
      </c>
    </row>
    <row r="288" spans="1:46" x14ac:dyDescent="0.25">
      <c r="B288" s="4" t="s">
        <v>304</v>
      </c>
      <c r="C288" s="8">
        <v>63.5</v>
      </c>
      <c r="D288" s="4">
        <v>127</v>
      </c>
      <c r="E288" s="8">
        <v>102</v>
      </c>
      <c r="F288">
        <f t="shared" si="146"/>
        <v>712</v>
      </c>
      <c r="G288">
        <f t="shared" si="147"/>
        <v>612</v>
      </c>
      <c r="H288" s="4">
        <v>12.5</v>
      </c>
      <c r="I288" s="4">
        <f t="shared" si="148"/>
        <v>63.5</v>
      </c>
      <c r="J288" s="4">
        <v>12.5</v>
      </c>
      <c r="K288" s="4">
        <f t="shared" si="149"/>
        <v>63.5</v>
      </c>
      <c r="L288">
        <f t="shared" si="156"/>
        <v>306</v>
      </c>
      <c r="M288">
        <f t="shared" si="119"/>
        <v>293.5</v>
      </c>
      <c r="N288" s="4">
        <v>3</v>
      </c>
      <c r="O288">
        <f t="shared" si="150"/>
        <v>9.5299999999999994</v>
      </c>
      <c r="P288" s="21">
        <f t="shared" si="143"/>
        <v>213.99170417430992</v>
      </c>
      <c r="Q288" s="29">
        <f t="shared" si="142"/>
        <v>3.3038706835619873E-2</v>
      </c>
      <c r="R288" s="21">
        <v>450</v>
      </c>
      <c r="S288" s="41">
        <f t="shared" si="153"/>
        <v>3</v>
      </c>
      <c r="T288" s="41">
        <f t="shared" si="154"/>
        <v>2.8774509803921569</v>
      </c>
      <c r="U288" s="4">
        <v>2.36</v>
      </c>
      <c r="V288">
        <v>54.1</v>
      </c>
      <c r="W288" s="61" t="s">
        <v>457</v>
      </c>
      <c r="X288" s="7">
        <f t="shared" si="130"/>
        <v>0.75</v>
      </c>
      <c r="Y288" s="4">
        <v>50</v>
      </c>
      <c r="Z288" s="8">
        <v>1</v>
      </c>
      <c r="AA288">
        <f t="shared" si="151"/>
        <v>0.8771929824561403</v>
      </c>
      <c r="AB288" s="68">
        <v>57</v>
      </c>
      <c r="AC288" s="4">
        <v>1000</v>
      </c>
      <c r="AD288" s="7">
        <f t="shared" si="131"/>
        <v>0.42749999999999999</v>
      </c>
      <c r="AE288" s="21">
        <f t="shared" si="126"/>
        <v>25260.3</v>
      </c>
      <c r="AF288" s="68">
        <f t="shared" si="152"/>
        <v>50.520600000000002</v>
      </c>
      <c r="AG288" s="41">
        <v>3.9</v>
      </c>
      <c r="AH288" s="45">
        <f t="shared" si="132"/>
        <v>0.5302320490860617</v>
      </c>
      <c r="AI288" s="45">
        <f t="shared" si="133"/>
        <v>1.0311745487945447</v>
      </c>
      <c r="AJ288" s="21">
        <f t="shared" si="145"/>
        <v>25.260300000000001</v>
      </c>
      <c r="AK288" s="21">
        <f t="shared" si="134"/>
        <v>0.20161249999999997</v>
      </c>
      <c r="AL288" s="21">
        <f t="shared" si="127"/>
        <v>6.1693424999999996E-2</v>
      </c>
      <c r="AM288" s="21">
        <f t="shared" si="155"/>
        <v>25.321993425000002</v>
      </c>
      <c r="AN288" s="41">
        <f t="shared" si="135"/>
        <v>3.9095249999999999</v>
      </c>
      <c r="AO288" s="41">
        <f t="shared" si="136"/>
        <v>0.53152703889825259</v>
      </c>
      <c r="AP288" s="41">
        <f t="shared" si="137"/>
        <v>1.0336929943271775</v>
      </c>
      <c r="AQ288" s="21">
        <f t="shared" si="138"/>
        <v>9.1870784000000014E-3</v>
      </c>
      <c r="AR288" s="21">
        <f t="shared" si="139"/>
        <v>7.729651800000001</v>
      </c>
      <c r="AS288" s="21">
        <f t="shared" si="140"/>
        <v>7.7388388784000011</v>
      </c>
      <c r="AT288" s="41">
        <f t="shared" si="141"/>
        <v>2.9962478910199954</v>
      </c>
    </row>
    <row r="289" spans="1:60" x14ac:dyDescent="0.25">
      <c r="B289" s="4" t="s">
        <v>225</v>
      </c>
      <c r="C289" s="8">
        <v>127</v>
      </c>
      <c r="D289" s="4">
        <v>228</v>
      </c>
      <c r="E289" s="8">
        <v>204</v>
      </c>
      <c r="F289">
        <f t="shared" si="146"/>
        <v>1324</v>
      </c>
      <c r="G289">
        <f t="shared" si="147"/>
        <v>1224</v>
      </c>
      <c r="H289" s="4">
        <v>25</v>
      </c>
      <c r="I289" s="4">
        <f t="shared" si="148"/>
        <v>127</v>
      </c>
      <c r="J289" s="4">
        <v>25</v>
      </c>
      <c r="K289" s="4">
        <f t="shared" si="149"/>
        <v>127</v>
      </c>
      <c r="L289">
        <f t="shared" si="156"/>
        <v>612</v>
      </c>
      <c r="M289">
        <f t="shared" si="119"/>
        <v>587</v>
      </c>
      <c r="N289" s="4">
        <v>2</v>
      </c>
      <c r="O289">
        <f t="shared" si="150"/>
        <v>19.100000000000001</v>
      </c>
      <c r="P289" s="21">
        <f t="shared" si="143"/>
        <v>573.04220797804635</v>
      </c>
      <c r="Q289" s="29">
        <f t="shared" si="142"/>
        <v>2.2118349852479787E-2</v>
      </c>
      <c r="R289" s="21">
        <v>450</v>
      </c>
      <c r="S289" s="41">
        <f t="shared" si="153"/>
        <v>3</v>
      </c>
      <c r="T289" s="41">
        <f t="shared" si="154"/>
        <v>2.8774509803921569</v>
      </c>
      <c r="U289" s="4">
        <v>9</v>
      </c>
      <c r="V289">
        <v>22.7</v>
      </c>
      <c r="W289" s="61" t="s">
        <v>456</v>
      </c>
      <c r="X289" s="7">
        <f t="shared" si="130"/>
        <v>1</v>
      </c>
      <c r="Y289" s="4">
        <v>30</v>
      </c>
      <c r="Z289" s="8">
        <v>1</v>
      </c>
      <c r="AA289">
        <f t="shared" si="151"/>
        <v>0.5</v>
      </c>
      <c r="AB289" s="68">
        <v>60</v>
      </c>
      <c r="AC289" s="4">
        <v>1172</v>
      </c>
      <c r="AD289" s="7">
        <f t="shared" si="131"/>
        <v>0.6</v>
      </c>
      <c r="AE289" s="21">
        <f t="shared" si="126"/>
        <v>79019.399999999994</v>
      </c>
      <c r="AF289" s="68">
        <f t="shared" si="152"/>
        <v>158.03879999999998</v>
      </c>
      <c r="AG289" s="41">
        <v>3.05</v>
      </c>
      <c r="AH289" s="45">
        <f t="shared" si="132"/>
        <v>0.64015760724569803</v>
      </c>
      <c r="AI289" s="45">
        <f t="shared" si="133"/>
        <v>1.0771872896552697</v>
      </c>
      <c r="AJ289" s="21">
        <f t="shared" si="145"/>
        <v>79.01939999999999</v>
      </c>
      <c r="AK289" s="21">
        <f t="shared" si="134"/>
        <v>0.72389999999999999</v>
      </c>
      <c r="AL289" s="21">
        <f t="shared" si="127"/>
        <v>0.4430268</v>
      </c>
      <c r="AM289" s="21">
        <f t="shared" si="155"/>
        <v>79.462426799999989</v>
      </c>
      <c r="AN289" s="41">
        <f t="shared" si="135"/>
        <v>3.0670999999999995</v>
      </c>
      <c r="AO289" s="41">
        <f t="shared" si="136"/>
        <v>0.64374668760107556</v>
      </c>
      <c r="AP289" s="41">
        <f t="shared" si="137"/>
        <v>1.0832266020005499</v>
      </c>
      <c r="AQ289" s="21">
        <f t="shared" si="138"/>
        <v>0.13466132579999998</v>
      </c>
      <c r="AR289" s="21">
        <f t="shared" si="139"/>
        <v>48.359872799999998</v>
      </c>
      <c r="AS289" s="21">
        <f t="shared" si="140"/>
        <v>48.494534125800001</v>
      </c>
      <c r="AT289" s="41">
        <f t="shared" si="141"/>
        <v>2.9915812304166289</v>
      </c>
    </row>
    <row r="290" spans="1:60" x14ac:dyDescent="0.25">
      <c r="B290" s="4" t="s">
        <v>226</v>
      </c>
      <c r="C290" s="8">
        <v>63.5</v>
      </c>
      <c r="D290" s="4">
        <v>127</v>
      </c>
      <c r="E290" s="8">
        <v>102</v>
      </c>
      <c r="F290">
        <f t="shared" si="146"/>
        <v>712</v>
      </c>
      <c r="G290">
        <f t="shared" si="147"/>
        <v>612</v>
      </c>
      <c r="H290" s="4">
        <v>12.5</v>
      </c>
      <c r="I290" s="4">
        <f t="shared" si="148"/>
        <v>63.5</v>
      </c>
      <c r="J290" s="4">
        <v>12.5</v>
      </c>
      <c r="K290" s="4">
        <f t="shared" si="149"/>
        <v>63.5</v>
      </c>
      <c r="L290">
        <f t="shared" si="156"/>
        <v>306</v>
      </c>
      <c r="M290">
        <f t="shared" si="119"/>
        <v>293.5</v>
      </c>
      <c r="N290" s="4">
        <v>2</v>
      </c>
      <c r="O290">
        <f t="shared" si="150"/>
        <v>9.5299999999999994</v>
      </c>
      <c r="P290" s="21">
        <f t="shared" si="143"/>
        <v>142.66113611620662</v>
      </c>
      <c r="Q290" s="29">
        <f t="shared" si="142"/>
        <v>2.2025804557079916E-2</v>
      </c>
      <c r="R290" s="21">
        <v>450</v>
      </c>
      <c r="S290" s="41">
        <f t="shared" si="153"/>
        <v>3</v>
      </c>
      <c r="T290" s="41">
        <f t="shared" si="154"/>
        <v>2.8774509803921569</v>
      </c>
      <c r="U290" s="4">
        <v>9</v>
      </c>
      <c r="V290">
        <v>22.7</v>
      </c>
      <c r="W290" s="61" t="s">
        <v>456</v>
      </c>
      <c r="X290" s="7">
        <f t="shared" si="130"/>
        <v>1</v>
      </c>
      <c r="Y290" s="4">
        <v>30</v>
      </c>
      <c r="Z290" s="8">
        <v>1</v>
      </c>
      <c r="AA290">
        <f t="shared" si="151"/>
        <v>0.5</v>
      </c>
      <c r="AB290" s="68">
        <v>60</v>
      </c>
      <c r="AC290" s="4">
        <v>1172</v>
      </c>
      <c r="AD290" s="7">
        <f t="shared" si="131"/>
        <v>0.6</v>
      </c>
      <c r="AE290" s="21">
        <f t="shared" si="126"/>
        <v>20467.32</v>
      </c>
      <c r="AF290" s="68">
        <f t="shared" si="152"/>
        <v>40.934640000000002</v>
      </c>
      <c r="AG290" s="41">
        <v>3.16</v>
      </c>
      <c r="AH290" s="45">
        <f t="shared" si="132"/>
        <v>0.66324525865455941</v>
      </c>
      <c r="AI290" s="45">
        <f t="shared" si="133"/>
        <v>1.116036667314968</v>
      </c>
      <c r="AJ290" s="21">
        <f t="shared" si="145"/>
        <v>20.467320000000001</v>
      </c>
      <c r="AK290" s="21">
        <f t="shared" si="134"/>
        <v>0.20161249999999997</v>
      </c>
      <c r="AL290" s="21">
        <f t="shared" si="127"/>
        <v>6.1693424999999996E-2</v>
      </c>
      <c r="AM290" s="21">
        <f t="shared" si="155"/>
        <v>20.529013425000002</v>
      </c>
      <c r="AN290" s="41">
        <f t="shared" si="135"/>
        <v>3.1695250000000001</v>
      </c>
      <c r="AO290" s="41">
        <f t="shared" si="136"/>
        <v>0.66524443937882671</v>
      </c>
      <c r="AP290" s="41">
        <f t="shared" si="137"/>
        <v>1.1194006702441373</v>
      </c>
      <c r="AQ290" s="21">
        <f t="shared" si="138"/>
        <v>9.1870784000000014E-3</v>
      </c>
      <c r="AR290" s="21">
        <f t="shared" si="139"/>
        <v>6.2629999200000004</v>
      </c>
      <c r="AS290" s="21">
        <f t="shared" si="140"/>
        <v>6.2721869984000005</v>
      </c>
      <c r="AT290" s="41">
        <f t="shared" si="141"/>
        <v>2.9953718731166172</v>
      </c>
    </row>
    <row r="291" spans="1:60" x14ac:dyDescent="0.25">
      <c r="B291" s="4" t="s">
        <v>305</v>
      </c>
      <c r="C291" s="8">
        <v>63.5</v>
      </c>
      <c r="D291" s="4">
        <v>127</v>
      </c>
      <c r="E291" s="8">
        <v>102</v>
      </c>
      <c r="F291">
        <f t="shared" si="146"/>
        <v>712</v>
      </c>
      <c r="G291">
        <f t="shared" si="147"/>
        <v>612</v>
      </c>
      <c r="H291" s="4">
        <v>12.5</v>
      </c>
      <c r="I291" s="4">
        <f t="shared" si="148"/>
        <v>63.5</v>
      </c>
      <c r="J291" s="4">
        <v>12.5</v>
      </c>
      <c r="K291" s="4">
        <f t="shared" si="149"/>
        <v>63.5</v>
      </c>
      <c r="L291">
        <f t="shared" si="156"/>
        <v>306</v>
      </c>
      <c r="M291">
        <f t="shared" si="119"/>
        <v>293.5</v>
      </c>
      <c r="N291" s="4">
        <v>1</v>
      </c>
      <c r="O291">
        <f t="shared" si="150"/>
        <v>9.5299999999999994</v>
      </c>
      <c r="P291" s="21">
        <f t="shared" si="143"/>
        <v>71.33056805810331</v>
      </c>
      <c r="Q291" s="29">
        <f t="shared" si="142"/>
        <v>1.1012902278539958E-2</v>
      </c>
      <c r="R291" s="21">
        <v>450</v>
      </c>
      <c r="S291" s="41">
        <f t="shared" si="153"/>
        <v>3</v>
      </c>
      <c r="T291" s="41">
        <f t="shared" si="154"/>
        <v>2.8774509803921569</v>
      </c>
      <c r="U291" s="4">
        <v>9</v>
      </c>
      <c r="V291">
        <v>22.7</v>
      </c>
      <c r="W291" s="61" t="s">
        <v>456</v>
      </c>
      <c r="X291" s="7">
        <f t="shared" si="130"/>
        <v>1</v>
      </c>
      <c r="Y291" s="4">
        <v>30</v>
      </c>
      <c r="Z291" s="8">
        <v>1</v>
      </c>
      <c r="AA291">
        <f t="shared" si="151"/>
        <v>0.5</v>
      </c>
      <c r="AB291" s="68">
        <v>60</v>
      </c>
      <c r="AC291" s="4">
        <v>1172</v>
      </c>
      <c r="AD291" s="7">
        <f t="shared" si="131"/>
        <v>0.6</v>
      </c>
      <c r="AE291" s="21">
        <f t="shared" si="126"/>
        <v>15739.11</v>
      </c>
      <c r="AF291" s="68">
        <f t="shared" si="152"/>
        <v>31.47822</v>
      </c>
      <c r="AG291" s="41">
        <v>2.4300000000000002</v>
      </c>
      <c r="AH291" s="45">
        <f t="shared" si="132"/>
        <v>0.510027208395753</v>
      </c>
      <c r="AI291" s="45">
        <f t="shared" si="133"/>
        <v>0.8582180701187887</v>
      </c>
      <c r="AJ291" s="21">
        <f t="shared" si="145"/>
        <v>15.73911</v>
      </c>
      <c r="AK291" s="21">
        <f t="shared" si="134"/>
        <v>0.20161249999999997</v>
      </c>
      <c r="AL291" s="21">
        <f t="shared" si="127"/>
        <v>6.1693424999999996E-2</v>
      </c>
      <c r="AM291" s="21">
        <f t="shared" si="155"/>
        <v>15.800803425</v>
      </c>
      <c r="AN291" s="41">
        <f t="shared" si="135"/>
        <v>2.4395250000000002</v>
      </c>
      <c r="AO291" s="41">
        <f t="shared" si="136"/>
        <v>0.5120263891200203</v>
      </c>
      <c r="AP291" s="41">
        <f t="shared" si="137"/>
        <v>0.86158207304795797</v>
      </c>
      <c r="AQ291" s="21">
        <f t="shared" si="138"/>
        <v>9.1870784000000014E-3</v>
      </c>
      <c r="AR291" s="21">
        <f t="shared" si="139"/>
        <v>4.8161676599999996</v>
      </c>
      <c r="AS291" s="21">
        <f t="shared" si="140"/>
        <v>4.8253547383999997</v>
      </c>
      <c r="AT291" s="41">
        <f t="shared" si="141"/>
        <v>2.9939869589940447</v>
      </c>
    </row>
    <row r="292" spans="1:60" x14ac:dyDescent="0.25">
      <c r="B292" s="4" t="s">
        <v>306</v>
      </c>
      <c r="C292" s="8">
        <v>63.5</v>
      </c>
      <c r="D292" s="4">
        <v>127</v>
      </c>
      <c r="E292" s="8">
        <v>102</v>
      </c>
      <c r="F292">
        <f t="shared" si="146"/>
        <v>406</v>
      </c>
      <c r="G292">
        <f t="shared" si="147"/>
        <v>306</v>
      </c>
      <c r="H292" s="4">
        <v>12.5</v>
      </c>
      <c r="I292" s="4">
        <f t="shared" si="148"/>
        <v>63.5</v>
      </c>
      <c r="J292" s="4">
        <v>12.5</v>
      </c>
      <c r="K292" s="4">
        <f t="shared" si="149"/>
        <v>63.5</v>
      </c>
      <c r="L292">
        <f>1.5*E292</f>
        <v>153</v>
      </c>
      <c r="M292">
        <f t="shared" ref="M292:M369" si="157">L292-J292/2-H292/2</f>
        <v>140.5</v>
      </c>
      <c r="N292" s="4">
        <v>1</v>
      </c>
      <c r="O292">
        <f t="shared" si="150"/>
        <v>9.5299999999999994</v>
      </c>
      <c r="P292" s="21">
        <f t="shared" si="143"/>
        <v>71.33056805810331</v>
      </c>
      <c r="Q292" s="29">
        <f t="shared" si="142"/>
        <v>1.1012902278539958E-2</v>
      </c>
      <c r="R292" s="21">
        <v>450</v>
      </c>
      <c r="S292" s="41">
        <f t="shared" si="153"/>
        <v>1.5</v>
      </c>
      <c r="T292" s="41">
        <f t="shared" si="154"/>
        <v>1.3774509803921569</v>
      </c>
      <c r="U292" s="4">
        <v>9</v>
      </c>
      <c r="V292">
        <v>22.7</v>
      </c>
      <c r="W292" s="61" t="s">
        <v>456</v>
      </c>
      <c r="X292" s="7">
        <f t="shared" si="130"/>
        <v>1</v>
      </c>
      <c r="Y292" s="4">
        <v>30</v>
      </c>
      <c r="Z292" s="8">
        <v>1</v>
      </c>
      <c r="AA292">
        <f t="shared" si="151"/>
        <v>0.5</v>
      </c>
      <c r="AB292" s="68">
        <v>60</v>
      </c>
      <c r="AC292" s="4">
        <v>1172</v>
      </c>
      <c r="AD292" s="7">
        <f t="shared" si="131"/>
        <v>0.6</v>
      </c>
      <c r="AE292" s="21">
        <f t="shared" si="126"/>
        <v>36530.28</v>
      </c>
      <c r="AF292" s="68">
        <f t="shared" si="152"/>
        <v>73.060559999999995</v>
      </c>
      <c r="AG292" s="41">
        <v>5.64</v>
      </c>
      <c r="AH292" s="45">
        <f t="shared" si="132"/>
        <v>1.18376685405434</v>
      </c>
      <c r="AI292" s="45">
        <f t="shared" si="133"/>
        <v>1.9919135454608918</v>
      </c>
      <c r="AJ292" s="21">
        <f t="shared" si="145"/>
        <v>36.530279999999998</v>
      </c>
      <c r="AK292" s="21">
        <f t="shared" si="134"/>
        <v>0.20161249999999997</v>
      </c>
      <c r="AL292" s="21">
        <f t="shared" si="127"/>
        <v>3.0846712499999991E-2</v>
      </c>
      <c r="AM292" s="21">
        <f t="shared" si="155"/>
        <v>36.561126712499998</v>
      </c>
      <c r="AN292" s="41">
        <f t="shared" si="135"/>
        <v>5.6447625000000006</v>
      </c>
      <c r="AO292" s="41">
        <f t="shared" si="136"/>
        <v>1.1847664444164738</v>
      </c>
      <c r="AP292" s="41">
        <f t="shared" si="137"/>
        <v>1.9935955469254769</v>
      </c>
      <c r="AQ292" s="21">
        <f t="shared" si="138"/>
        <v>2.1077578812500001E-3</v>
      </c>
      <c r="AR292" s="21">
        <f t="shared" si="139"/>
        <v>5.5891328399999995</v>
      </c>
      <c r="AS292" s="21">
        <f t="shared" si="140"/>
        <v>5.5912405978812494</v>
      </c>
      <c r="AT292" s="41">
        <f t="shared" si="141"/>
        <v>1.4992996447839826</v>
      </c>
    </row>
    <row r="293" spans="1:60" x14ac:dyDescent="0.25">
      <c r="B293" s="4" t="s">
        <v>307</v>
      </c>
      <c r="C293" s="8">
        <v>127</v>
      </c>
      <c r="D293" s="4">
        <v>228</v>
      </c>
      <c r="E293" s="8">
        <v>204</v>
      </c>
      <c r="F293">
        <f t="shared" si="146"/>
        <v>1324</v>
      </c>
      <c r="G293">
        <f t="shared" si="147"/>
        <v>1224</v>
      </c>
      <c r="H293" s="4">
        <v>25</v>
      </c>
      <c r="I293" s="4">
        <f t="shared" si="148"/>
        <v>127</v>
      </c>
      <c r="J293" s="4">
        <v>25</v>
      </c>
      <c r="K293" s="4">
        <f t="shared" si="149"/>
        <v>127</v>
      </c>
      <c r="L293">
        <f>3*E293</f>
        <v>612</v>
      </c>
      <c r="M293">
        <f t="shared" si="157"/>
        <v>587</v>
      </c>
      <c r="N293" s="4">
        <v>2</v>
      </c>
      <c r="O293">
        <f t="shared" si="150"/>
        <v>19.100000000000001</v>
      </c>
      <c r="P293" s="21">
        <f t="shared" si="143"/>
        <v>573.04220797804635</v>
      </c>
      <c r="Q293" s="29">
        <f t="shared" si="142"/>
        <v>2.2118349852479787E-2</v>
      </c>
      <c r="R293" s="21">
        <v>450</v>
      </c>
      <c r="S293" s="41">
        <f t="shared" si="153"/>
        <v>3</v>
      </c>
      <c r="T293" s="41">
        <f t="shared" si="154"/>
        <v>2.8774509803921569</v>
      </c>
      <c r="U293" s="4">
        <v>9</v>
      </c>
      <c r="V293">
        <v>26</v>
      </c>
      <c r="W293" s="61" t="s">
        <v>456</v>
      </c>
      <c r="X293" s="7">
        <f t="shared" si="130"/>
        <v>1</v>
      </c>
      <c r="Y293" s="4">
        <v>50</v>
      </c>
      <c r="Z293" s="8">
        <v>1</v>
      </c>
      <c r="AA293">
        <f t="shared" si="151"/>
        <v>0.5</v>
      </c>
      <c r="AB293" s="68">
        <v>100</v>
      </c>
      <c r="AC293" s="4">
        <v>1172</v>
      </c>
      <c r="AD293" s="7">
        <f t="shared" si="131"/>
        <v>1</v>
      </c>
      <c r="AE293" s="21">
        <f t="shared" si="126"/>
        <v>79019.399999999994</v>
      </c>
      <c r="AF293" s="68">
        <f t="shared" si="152"/>
        <v>158.03879999999998</v>
      </c>
      <c r="AG293" s="41">
        <v>3.05</v>
      </c>
      <c r="AH293" s="45">
        <f t="shared" si="132"/>
        <v>0.59815421217146125</v>
      </c>
      <c r="AI293" s="45">
        <f t="shared" si="133"/>
        <v>1.0295372312982247</v>
      </c>
      <c r="AJ293" s="21">
        <f t="shared" si="145"/>
        <v>79.01939999999999</v>
      </c>
      <c r="AK293" s="21">
        <f t="shared" si="134"/>
        <v>0.72389999999999999</v>
      </c>
      <c r="AL293" s="21">
        <f t="shared" si="127"/>
        <v>0.4430268</v>
      </c>
      <c r="AM293" s="21">
        <f t="shared" si="155"/>
        <v>79.462426799999989</v>
      </c>
      <c r="AN293" s="41">
        <f t="shared" si="135"/>
        <v>3.0670999999999995</v>
      </c>
      <c r="AO293" s="41">
        <f t="shared" si="136"/>
        <v>0.60150779808232413</v>
      </c>
      <c r="AP293" s="41">
        <f t="shared" si="137"/>
        <v>1.0353093908573063</v>
      </c>
      <c r="AQ293" s="21">
        <f t="shared" si="138"/>
        <v>0.13466132579999998</v>
      </c>
      <c r="AR293" s="21">
        <f t="shared" si="139"/>
        <v>48.359872799999998</v>
      </c>
      <c r="AS293" s="21">
        <f t="shared" si="140"/>
        <v>48.494534125800001</v>
      </c>
      <c r="AT293" s="41">
        <f t="shared" si="141"/>
        <v>2.9915812304166289</v>
      </c>
    </row>
    <row r="294" spans="1:60" x14ac:dyDescent="0.25">
      <c r="A294" s="1"/>
      <c r="B294" s="10" t="s">
        <v>227</v>
      </c>
      <c r="C294" s="9">
        <v>63.5</v>
      </c>
      <c r="D294" s="10">
        <v>127</v>
      </c>
      <c r="E294" s="9">
        <v>102</v>
      </c>
      <c r="F294" s="1">
        <f t="shared" si="146"/>
        <v>712</v>
      </c>
      <c r="G294" s="1">
        <f t="shared" si="147"/>
        <v>612</v>
      </c>
      <c r="H294" s="10">
        <v>12.5</v>
      </c>
      <c r="I294" s="10">
        <f t="shared" si="148"/>
        <v>63.5</v>
      </c>
      <c r="J294" s="10">
        <v>12.5</v>
      </c>
      <c r="K294" s="10">
        <f t="shared" si="149"/>
        <v>63.5</v>
      </c>
      <c r="L294" s="1">
        <f>3*E294</f>
        <v>306</v>
      </c>
      <c r="M294" s="1">
        <f t="shared" si="157"/>
        <v>293.5</v>
      </c>
      <c r="N294" s="10">
        <v>2</v>
      </c>
      <c r="O294" s="1">
        <f t="shared" si="150"/>
        <v>9.5299999999999994</v>
      </c>
      <c r="P294" s="27">
        <f t="shared" si="143"/>
        <v>142.66113611620662</v>
      </c>
      <c r="Q294" s="36">
        <f t="shared" si="142"/>
        <v>2.2025804557079916E-2</v>
      </c>
      <c r="R294" s="27">
        <v>450</v>
      </c>
      <c r="S294" s="48">
        <f t="shared" si="153"/>
        <v>3</v>
      </c>
      <c r="T294" s="48">
        <f t="shared" si="154"/>
        <v>2.8774509803921569</v>
      </c>
      <c r="U294" s="10">
        <v>9</v>
      </c>
      <c r="V294" s="1">
        <v>26</v>
      </c>
      <c r="W294" s="62" t="s">
        <v>456</v>
      </c>
      <c r="X294" s="7">
        <f t="shared" si="130"/>
        <v>1</v>
      </c>
      <c r="Y294" s="10">
        <v>50</v>
      </c>
      <c r="Z294" s="9">
        <v>1</v>
      </c>
      <c r="AA294" s="1">
        <f t="shared" si="151"/>
        <v>0.5</v>
      </c>
      <c r="AB294" s="69">
        <v>100</v>
      </c>
      <c r="AC294" s="10">
        <v>1172</v>
      </c>
      <c r="AD294" s="7">
        <f t="shared" si="131"/>
        <v>1</v>
      </c>
      <c r="AE294" s="27">
        <f t="shared" si="126"/>
        <v>22993.35</v>
      </c>
      <c r="AF294" s="69">
        <f t="shared" si="152"/>
        <v>45.986699999999999</v>
      </c>
      <c r="AG294" s="48">
        <v>3.55</v>
      </c>
      <c r="AH294" s="45">
        <f t="shared" si="132"/>
        <v>0.69621227974055333</v>
      </c>
      <c r="AI294" s="45">
        <f t="shared" si="133"/>
        <v>1.1983138265930156</v>
      </c>
      <c r="AJ294" s="27">
        <f t="shared" si="145"/>
        <v>22.99335</v>
      </c>
      <c r="AK294" s="21">
        <f t="shared" si="134"/>
        <v>0.20161249999999997</v>
      </c>
      <c r="AL294" s="27">
        <f t="shared" si="127"/>
        <v>6.1693424999999996E-2</v>
      </c>
      <c r="AM294" s="27">
        <f t="shared" si="155"/>
        <v>23.055043425000001</v>
      </c>
      <c r="AN294" s="41">
        <f t="shared" si="135"/>
        <v>3.5595249999999998</v>
      </c>
      <c r="AO294" s="41">
        <f t="shared" si="136"/>
        <v>0.69808028592774451</v>
      </c>
      <c r="AP294" s="41">
        <f t="shared" si="137"/>
        <v>1.2015290207333813</v>
      </c>
      <c r="AQ294" s="21">
        <f t="shared" si="138"/>
        <v>9.1870784000000014E-3</v>
      </c>
      <c r="AR294" s="21">
        <f t="shared" si="139"/>
        <v>7.0359650999999994</v>
      </c>
      <c r="AS294" s="21">
        <f t="shared" si="140"/>
        <v>7.0451521783999995</v>
      </c>
      <c r="AT294" s="41">
        <f t="shared" si="141"/>
        <v>2.9958789546751166</v>
      </c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</row>
    <row r="295" spans="1:60" x14ac:dyDescent="0.25">
      <c r="A295" t="s">
        <v>33</v>
      </c>
      <c r="B295" s="4" t="s">
        <v>308</v>
      </c>
      <c r="C295" s="8">
        <v>55</v>
      </c>
      <c r="D295" s="4">
        <v>300</v>
      </c>
      <c r="E295" s="8">
        <v>265</v>
      </c>
      <c r="F295">
        <v>3500</v>
      </c>
      <c r="G295" s="4">
        <v>3000</v>
      </c>
      <c r="H295" s="4">
        <v>100</v>
      </c>
      <c r="I295" s="4">
        <v>115</v>
      </c>
      <c r="J295" s="4">
        <v>100</v>
      </c>
      <c r="K295" s="4">
        <v>295</v>
      </c>
      <c r="L295" s="4">
        <f>2*E295</f>
        <v>530</v>
      </c>
      <c r="M295" s="4">
        <f t="shared" si="157"/>
        <v>430</v>
      </c>
      <c r="N295" s="4">
        <v>2</v>
      </c>
      <c r="O295" s="4">
        <v>20</v>
      </c>
      <c r="P295" s="21">
        <f t="shared" si="143"/>
        <v>628.31853071795865</v>
      </c>
      <c r="Q295" s="29">
        <f t="shared" si="142"/>
        <v>4.3109333153890816E-2</v>
      </c>
      <c r="R295" s="21">
        <f>(455+470)/2</f>
        <v>462.5</v>
      </c>
      <c r="S295" s="41">
        <f t="shared" si="153"/>
        <v>2</v>
      </c>
      <c r="T295" s="41">
        <f t="shared" si="154"/>
        <v>1.6226415094339623</v>
      </c>
      <c r="U295" s="4">
        <v>14</v>
      </c>
      <c r="V295">
        <f>0.82*44.5</f>
        <v>36.489999999999995</v>
      </c>
      <c r="W295" s="61" t="s">
        <v>457</v>
      </c>
      <c r="X295" s="7">
        <f t="shared" si="130"/>
        <v>0.75</v>
      </c>
      <c r="Y295" s="4">
        <v>50</v>
      </c>
      <c r="Z295" s="8">
        <v>1</v>
      </c>
      <c r="AA295" s="4">
        <v>0.5</v>
      </c>
      <c r="AB295" s="68">
        <v>100</v>
      </c>
      <c r="AC295" s="4">
        <v>1570</v>
      </c>
      <c r="AD295" s="7">
        <f t="shared" si="131"/>
        <v>0.75</v>
      </c>
      <c r="AE295" s="21">
        <f t="shared" si="126"/>
        <v>80300</v>
      </c>
      <c r="AF295" s="68">
        <f>2*AJ295</f>
        <v>160.6</v>
      </c>
      <c r="AG295" s="41">
        <f t="shared" ref="AG295:AG355" si="158">AM295/(C295*E295)*1000</f>
        <v>5.5383018867924525</v>
      </c>
      <c r="AH295" s="45">
        <f t="shared" si="132"/>
        <v>0.91683185288137869</v>
      </c>
      <c r="AI295" s="45">
        <f t="shared" si="133"/>
        <v>1.6697521212019455</v>
      </c>
      <c r="AJ295" s="21">
        <v>80.3</v>
      </c>
      <c r="AK295" s="21">
        <f>17*C295/1000*D295/1000</f>
        <v>0.28050000000000003</v>
      </c>
      <c r="AL295" s="21">
        <f t="shared" ref="AL295:AL301" si="159">17*C295/1000*D295/1000*F295/1000-17*C295/1000*D295/1000*F295/1000*(F295/2000-(F295-G295)/2000)*1/(G295/1000)-17*C295/1000*D295/1000*(F295-G295)/2000</f>
        <v>0.42075000000000001</v>
      </c>
      <c r="AM295" s="21">
        <f t="shared" si="155"/>
        <v>80.720749999999995</v>
      </c>
      <c r="AN295" s="41">
        <f t="shared" si="135"/>
        <v>5.5383018867924525</v>
      </c>
      <c r="AO295" s="41">
        <f t="shared" si="136"/>
        <v>0.91683185288137869</v>
      </c>
      <c r="AP295" s="41">
        <f t="shared" si="137"/>
        <v>1.6697521212019455</v>
      </c>
      <c r="AQ295" s="21">
        <f t="shared" si="138"/>
        <v>0.17483565000000001</v>
      </c>
      <c r="AR295" s="21">
        <f t="shared" si="139"/>
        <v>42.558999999999997</v>
      </c>
      <c r="AS295" s="21">
        <f t="shared" si="140"/>
        <v>42.733835649999996</v>
      </c>
      <c r="AT295" s="41">
        <f t="shared" si="141"/>
        <v>1.9977484992373253</v>
      </c>
    </row>
    <row r="296" spans="1:60" x14ac:dyDescent="0.25">
      <c r="A296">
        <v>1993</v>
      </c>
      <c r="B296" s="4" t="s">
        <v>309</v>
      </c>
      <c r="C296" s="8">
        <v>55</v>
      </c>
      <c r="D296" s="4">
        <v>300</v>
      </c>
      <c r="E296" s="8">
        <v>265</v>
      </c>
      <c r="F296">
        <v>3500</v>
      </c>
      <c r="G296" s="4">
        <v>3000</v>
      </c>
      <c r="H296" s="4">
        <v>100</v>
      </c>
      <c r="I296" s="4">
        <v>115</v>
      </c>
      <c r="J296" s="4">
        <v>100</v>
      </c>
      <c r="K296" s="4">
        <v>295</v>
      </c>
      <c r="L296">
        <f>3.43*E296</f>
        <v>908.95</v>
      </c>
      <c r="M296" s="4">
        <f t="shared" si="157"/>
        <v>808.95</v>
      </c>
      <c r="N296" s="4">
        <v>2</v>
      </c>
      <c r="O296" s="4">
        <v>20</v>
      </c>
      <c r="P296" s="21">
        <f t="shared" si="143"/>
        <v>628.31853071795865</v>
      </c>
      <c r="Q296" s="29">
        <f t="shared" si="142"/>
        <v>4.3109333153890816E-2</v>
      </c>
      <c r="R296" s="21">
        <f t="shared" ref="R296:R301" si="160">(455+470)/2</f>
        <v>462.5</v>
      </c>
      <c r="S296" s="41">
        <f t="shared" si="153"/>
        <v>3.43</v>
      </c>
      <c r="T296" s="41">
        <f t="shared" si="154"/>
        <v>3.0526415094339625</v>
      </c>
      <c r="U296" s="4">
        <v>14</v>
      </c>
      <c r="V296">
        <f>0.82*51.1</f>
        <v>41.902000000000001</v>
      </c>
      <c r="W296" s="61" t="s">
        <v>457</v>
      </c>
      <c r="X296" s="7">
        <f t="shared" si="130"/>
        <v>0.75</v>
      </c>
      <c r="Y296" s="4">
        <v>50</v>
      </c>
      <c r="Z296" s="8">
        <v>1</v>
      </c>
      <c r="AA296" s="4">
        <v>0.5</v>
      </c>
      <c r="AB296" s="68">
        <v>100</v>
      </c>
      <c r="AC296" s="4">
        <v>1570</v>
      </c>
      <c r="AD296" s="7">
        <f t="shared" si="131"/>
        <v>0.75</v>
      </c>
      <c r="AE296" s="21">
        <f t="shared" si="126"/>
        <v>59000</v>
      </c>
      <c r="AF296" s="68">
        <f t="shared" ref="AF296:AF301" si="161">2*AJ296</f>
        <v>118</v>
      </c>
      <c r="AG296" s="41">
        <f t="shared" si="158"/>
        <v>4.0768953687821607</v>
      </c>
      <c r="AH296" s="45">
        <f t="shared" si="132"/>
        <v>0.62981382476767611</v>
      </c>
      <c r="AI296" s="45">
        <f t="shared" si="133"/>
        <v>1.173774440110706</v>
      </c>
      <c r="AJ296" s="21">
        <v>59</v>
      </c>
      <c r="AK296" s="21">
        <f t="shared" ref="AK296:AK301" si="162">17*C296/1000*D296/1000</f>
        <v>0.28050000000000003</v>
      </c>
      <c r="AL296" s="21">
        <f t="shared" si="159"/>
        <v>0.42075000000000001</v>
      </c>
      <c r="AM296" s="21">
        <f t="shared" si="155"/>
        <v>59.420749999999998</v>
      </c>
      <c r="AN296" s="41">
        <f t="shared" si="135"/>
        <v>4.0768953687821616</v>
      </c>
      <c r="AO296" s="41">
        <f t="shared" si="136"/>
        <v>0.62981382476767633</v>
      </c>
      <c r="AP296" s="41">
        <f t="shared" si="137"/>
        <v>1.1737744401107062</v>
      </c>
      <c r="AQ296" s="21">
        <f t="shared" si="138"/>
        <v>0.25780192562437509</v>
      </c>
      <c r="AR296" s="21">
        <f t="shared" si="139"/>
        <v>53.628050000000002</v>
      </c>
      <c r="AS296" s="21">
        <f t="shared" si="140"/>
        <v>53.88585192562438</v>
      </c>
      <c r="AT296" s="41">
        <f t="shared" si="141"/>
        <v>3.4220846666389493</v>
      </c>
    </row>
    <row r="297" spans="1:60" x14ac:dyDescent="0.25">
      <c r="B297" s="4" t="s">
        <v>310</v>
      </c>
      <c r="C297" s="8">
        <v>55</v>
      </c>
      <c r="D297" s="4">
        <v>300</v>
      </c>
      <c r="E297" s="8">
        <v>265</v>
      </c>
      <c r="F297">
        <v>3500</v>
      </c>
      <c r="G297" s="4">
        <v>3000</v>
      </c>
      <c r="H297" s="4">
        <v>100</v>
      </c>
      <c r="I297" s="4">
        <v>115</v>
      </c>
      <c r="J297" s="4">
        <v>100</v>
      </c>
      <c r="K297" s="4">
        <v>295</v>
      </c>
      <c r="L297">
        <f>4.91*E297</f>
        <v>1301.1500000000001</v>
      </c>
      <c r="M297" s="4">
        <f t="shared" si="157"/>
        <v>1201.1500000000001</v>
      </c>
      <c r="N297" s="4">
        <v>2</v>
      </c>
      <c r="O297" s="4">
        <v>20</v>
      </c>
      <c r="P297" s="21">
        <f t="shared" si="143"/>
        <v>628.31853071795865</v>
      </c>
      <c r="Q297" s="29">
        <f t="shared" si="142"/>
        <v>4.3109333153890816E-2</v>
      </c>
      <c r="R297" s="21">
        <f t="shared" si="160"/>
        <v>462.5</v>
      </c>
      <c r="S297" s="41">
        <f t="shared" si="153"/>
        <v>4.91</v>
      </c>
      <c r="T297" s="41">
        <f t="shared" si="154"/>
        <v>4.5326415094339625</v>
      </c>
      <c r="U297" s="4">
        <v>14</v>
      </c>
      <c r="V297">
        <f>0.82*45</f>
        <v>36.9</v>
      </c>
      <c r="W297" s="61" t="s">
        <v>457</v>
      </c>
      <c r="X297" s="7">
        <f t="shared" si="130"/>
        <v>0.75</v>
      </c>
      <c r="Y297" s="4">
        <v>50</v>
      </c>
      <c r="Z297" s="8">
        <v>1</v>
      </c>
      <c r="AA297" s="4">
        <v>0.5</v>
      </c>
      <c r="AB297" s="68">
        <v>100</v>
      </c>
      <c r="AC297" s="4">
        <v>1570</v>
      </c>
      <c r="AD297" s="7">
        <f t="shared" si="131"/>
        <v>0.75</v>
      </c>
      <c r="AE297" s="21">
        <f t="shared" si="126"/>
        <v>42500</v>
      </c>
      <c r="AF297" s="68">
        <f t="shared" si="161"/>
        <v>85</v>
      </c>
      <c r="AG297" s="41">
        <f t="shared" si="158"/>
        <v>2.9448198970840482</v>
      </c>
      <c r="AH297" s="45">
        <f t="shared" si="132"/>
        <v>0.48478096152541883</v>
      </c>
      <c r="AI297" s="45">
        <f t="shared" si="133"/>
        <v>0.88453824788444713</v>
      </c>
      <c r="AJ297" s="21">
        <v>42.5</v>
      </c>
      <c r="AK297" s="21">
        <f t="shared" si="162"/>
        <v>0.28050000000000003</v>
      </c>
      <c r="AL297" s="21">
        <f t="shared" si="159"/>
        <v>0.42075000000000001</v>
      </c>
      <c r="AM297" s="21">
        <f t="shared" si="155"/>
        <v>42.920749999999998</v>
      </c>
      <c r="AN297" s="41">
        <f t="shared" si="135"/>
        <v>2.9448198970840482</v>
      </c>
      <c r="AO297" s="41">
        <f t="shared" si="136"/>
        <v>0.48478096152541883</v>
      </c>
      <c r="AP297" s="41">
        <f t="shared" si="137"/>
        <v>0.88453824788444713</v>
      </c>
      <c r="AQ297" s="21">
        <f t="shared" si="138"/>
        <v>0.30125120451937504</v>
      </c>
      <c r="AR297" s="21">
        <f t="shared" si="139"/>
        <v>55.29887500000001</v>
      </c>
      <c r="AS297" s="21">
        <f t="shared" si="140"/>
        <v>55.600126204519384</v>
      </c>
      <c r="AT297" s="41">
        <f t="shared" si="141"/>
        <v>4.8883534653561824</v>
      </c>
    </row>
    <row r="298" spans="1:60" x14ac:dyDescent="0.25">
      <c r="B298" s="4" t="s">
        <v>311</v>
      </c>
      <c r="C298" s="8">
        <v>55</v>
      </c>
      <c r="D298" s="4">
        <v>300</v>
      </c>
      <c r="E298" s="8">
        <v>265</v>
      </c>
      <c r="F298">
        <v>3500</v>
      </c>
      <c r="G298" s="4">
        <v>3000</v>
      </c>
      <c r="H298" s="4">
        <v>100</v>
      </c>
      <c r="I298" s="4">
        <v>115</v>
      </c>
      <c r="J298" s="4">
        <v>100</v>
      </c>
      <c r="K298" s="4">
        <v>295</v>
      </c>
      <c r="L298">
        <f>2*E298</f>
        <v>530</v>
      </c>
      <c r="M298" s="4">
        <f t="shared" si="157"/>
        <v>430</v>
      </c>
      <c r="N298" s="4">
        <v>2</v>
      </c>
      <c r="O298" s="4">
        <v>16</v>
      </c>
      <c r="P298" s="21">
        <f t="shared" si="143"/>
        <v>402.12385965949352</v>
      </c>
      <c r="Q298" s="29">
        <f t="shared" si="142"/>
        <v>2.7589973218490122E-2</v>
      </c>
      <c r="R298" s="21">
        <f t="shared" si="160"/>
        <v>462.5</v>
      </c>
      <c r="S298" s="41">
        <f t="shared" si="153"/>
        <v>2</v>
      </c>
      <c r="T298" s="41">
        <f t="shared" si="154"/>
        <v>1.6226415094339623</v>
      </c>
      <c r="U298" s="4">
        <v>14</v>
      </c>
      <c r="V298">
        <f>0.82*47.2</f>
        <v>38.704000000000001</v>
      </c>
      <c r="W298" s="61" t="s">
        <v>457</v>
      </c>
      <c r="X298" s="7">
        <f t="shared" si="130"/>
        <v>0.75</v>
      </c>
      <c r="Y298" s="4">
        <v>50</v>
      </c>
      <c r="Z298" s="8">
        <v>1</v>
      </c>
      <c r="AA298" s="4">
        <v>0.5</v>
      </c>
      <c r="AB298" s="68">
        <v>100</v>
      </c>
      <c r="AC298" s="4">
        <v>1570</v>
      </c>
      <c r="AD298" s="7">
        <f t="shared" si="131"/>
        <v>0.75</v>
      </c>
      <c r="AE298" s="21">
        <f t="shared" si="126"/>
        <v>71900</v>
      </c>
      <c r="AF298" s="68">
        <f t="shared" si="161"/>
        <v>143.80000000000001</v>
      </c>
      <c r="AG298" s="41">
        <f t="shared" si="158"/>
        <v>4.9619725557461409</v>
      </c>
      <c r="AH298" s="45">
        <f t="shared" si="132"/>
        <v>0.79758399852545436</v>
      </c>
      <c r="AI298" s="45">
        <f t="shared" si="133"/>
        <v>1.4669064141340347</v>
      </c>
      <c r="AJ298" s="21">
        <v>71.900000000000006</v>
      </c>
      <c r="AK298" s="21">
        <f t="shared" si="162"/>
        <v>0.28050000000000003</v>
      </c>
      <c r="AL298" s="21">
        <f t="shared" si="159"/>
        <v>0.42075000000000001</v>
      </c>
      <c r="AM298" s="21">
        <f t="shared" si="155"/>
        <v>72.320750000000004</v>
      </c>
      <c r="AN298" s="41">
        <f t="shared" si="135"/>
        <v>4.9619725557461409</v>
      </c>
      <c r="AO298" s="41">
        <f t="shared" si="136"/>
        <v>0.79758399852545436</v>
      </c>
      <c r="AP298" s="41">
        <f t="shared" si="137"/>
        <v>1.4669064141340347</v>
      </c>
      <c r="AQ298" s="21">
        <f t="shared" si="138"/>
        <v>0.17483565000000001</v>
      </c>
      <c r="AR298" s="21">
        <f t="shared" si="139"/>
        <v>38.106999999999999</v>
      </c>
      <c r="AS298" s="21">
        <f t="shared" si="140"/>
        <v>38.281835649999998</v>
      </c>
      <c r="AT298" s="41">
        <f t="shared" si="141"/>
        <v>1.9974869891395111</v>
      </c>
    </row>
    <row r="299" spans="1:60" x14ac:dyDescent="0.25">
      <c r="B299" s="4" t="s">
        <v>312</v>
      </c>
      <c r="C299" s="8">
        <v>55</v>
      </c>
      <c r="D299" s="4">
        <v>300</v>
      </c>
      <c r="E299" s="8">
        <v>265</v>
      </c>
      <c r="F299">
        <v>3500</v>
      </c>
      <c r="G299" s="4">
        <v>3000</v>
      </c>
      <c r="H299" s="4">
        <v>100</v>
      </c>
      <c r="I299" s="4">
        <v>115</v>
      </c>
      <c r="J299" s="4">
        <v>100</v>
      </c>
      <c r="K299" s="4">
        <v>295</v>
      </c>
      <c r="L299">
        <f>3.43*E299</f>
        <v>908.95</v>
      </c>
      <c r="M299" s="4">
        <f t="shared" si="157"/>
        <v>808.95</v>
      </c>
      <c r="N299" s="4">
        <v>2</v>
      </c>
      <c r="O299" s="4">
        <v>16</v>
      </c>
      <c r="P299" s="21">
        <f t="shared" si="143"/>
        <v>402.12385965949352</v>
      </c>
      <c r="Q299" s="29">
        <f t="shared" si="142"/>
        <v>2.7589973218490122E-2</v>
      </c>
      <c r="R299" s="21">
        <f t="shared" si="160"/>
        <v>462.5</v>
      </c>
      <c r="S299" s="41">
        <f t="shared" si="153"/>
        <v>3.43</v>
      </c>
      <c r="T299" s="41">
        <f t="shared" si="154"/>
        <v>3.0526415094339625</v>
      </c>
      <c r="U299" s="4">
        <v>14</v>
      </c>
      <c r="V299">
        <f>0.82*41.4</f>
        <v>33.947999999999993</v>
      </c>
      <c r="W299" s="61" t="s">
        <v>457</v>
      </c>
      <c r="X299" s="7">
        <f t="shared" si="130"/>
        <v>0.75</v>
      </c>
      <c r="Y299" s="4">
        <v>50</v>
      </c>
      <c r="Z299" s="8">
        <v>1</v>
      </c>
      <c r="AA299" s="4">
        <v>0.5</v>
      </c>
      <c r="AB299" s="68">
        <v>100</v>
      </c>
      <c r="AC299" s="4">
        <v>1570</v>
      </c>
      <c r="AD299" s="7">
        <f t="shared" si="131"/>
        <v>0.75</v>
      </c>
      <c r="AE299" s="21">
        <f t="shared" si="126"/>
        <v>45600</v>
      </c>
      <c r="AF299" s="68">
        <f t="shared" si="161"/>
        <v>91.2</v>
      </c>
      <c r="AG299" s="41">
        <f t="shared" si="158"/>
        <v>3.1575128644939965</v>
      </c>
      <c r="AH299" s="45">
        <f t="shared" si="132"/>
        <v>0.54192355953673721</v>
      </c>
      <c r="AI299" s="45">
        <f t="shared" si="133"/>
        <v>0.975155177209585</v>
      </c>
      <c r="AJ299" s="21">
        <v>45.6</v>
      </c>
      <c r="AK299" s="21">
        <f t="shared" si="162"/>
        <v>0.28050000000000003</v>
      </c>
      <c r="AL299" s="21">
        <f t="shared" si="159"/>
        <v>0.42075000000000001</v>
      </c>
      <c r="AM299" s="21">
        <f t="shared" si="155"/>
        <v>46.02075</v>
      </c>
      <c r="AN299" s="41">
        <f t="shared" si="135"/>
        <v>3.1575128644939965</v>
      </c>
      <c r="AO299" s="41">
        <f t="shared" si="136"/>
        <v>0.54192355953673721</v>
      </c>
      <c r="AP299" s="41">
        <f t="shared" si="137"/>
        <v>0.975155177209585</v>
      </c>
      <c r="AQ299" s="21">
        <f t="shared" si="138"/>
        <v>0.25780192562437509</v>
      </c>
      <c r="AR299" s="21">
        <f t="shared" si="139"/>
        <v>41.448120000000003</v>
      </c>
      <c r="AS299" s="21">
        <f t="shared" si="140"/>
        <v>41.705921925624381</v>
      </c>
      <c r="AT299" s="41">
        <f t="shared" si="141"/>
        <v>3.4197799352506495</v>
      </c>
    </row>
    <row r="300" spans="1:60" x14ac:dyDescent="0.25">
      <c r="B300" s="4" t="s">
        <v>313</v>
      </c>
      <c r="C300" s="8">
        <v>55</v>
      </c>
      <c r="D300" s="4">
        <v>300</v>
      </c>
      <c r="E300" s="8">
        <v>265</v>
      </c>
      <c r="F300">
        <v>3500</v>
      </c>
      <c r="G300" s="4">
        <v>3000</v>
      </c>
      <c r="H300" s="4">
        <v>100</v>
      </c>
      <c r="I300" s="4">
        <v>115</v>
      </c>
      <c r="J300" s="4">
        <v>100</v>
      </c>
      <c r="K300" s="4">
        <v>295</v>
      </c>
      <c r="L300">
        <f>4.91*E300</f>
        <v>1301.1500000000001</v>
      </c>
      <c r="M300" s="4">
        <f t="shared" si="157"/>
        <v>1201.1500000000001</v>
      </c>
      <c r="N300" s="4">
        <v>2</v>
      </c>
      <c r="O300" s="4">
        <v>16</v>
      </c>
      <c r="P300" s="21">
        <f t="shared" si="143"/>
        <v>402.12385965949352</v>
      </c>
      <c r="Q300" s="29">
        <f t="shared" si="142"/>
        <v>2.7589973218490122E-2</v>
      </c>
      <c r="R300" s="21">
        <f t="shared" si="160"/>
        <v>462.5</v>
      </c>
      <c r="S300" s="41">
        <f t="shared" si="153"/>
        <v>4.91</v>
      </c>
      <c r="T300" s="41">
        <f t="shared" si="154"/>
        <v>4.5326415094339625</v>
      </c>
      <c r="U300" s="4">
        <v>14</v>
      </c>
      <c r="V300">
        <f>0.82*44.9</f>
        <v>36.817999999999998</v>
      </c>
      <c r="W300" s="61" t="s">
        <v>457</v>
      </c>
      <c r="X300" s="7">
        <f t="shared" si="130"/>
        <v>0.75</v>
      </c>
      <c r="Y300" s="4">
        <v>50</v>
      </c>
      <c r="Z300" s="8">
        <v>1</v>
      </c>
      <c r="AA300" s="4">
        <v>0.5</v>
      </c>
      <c r="AB300" s="68">
        <v>100</v>
      </c>
      <c r="AC300" s="4">
        <v>1570</v>
      </c>
      <c r="AD300" s="7">
        <f t="shared" si="131"/>
        <v>0.75</v>
      </c>
      <c r="AE300" s="21">
        <f t="shared" si="126"/>
        <v>42800</v>
      </c>
      <c r="AF300" s="68">
        <f t="shared" si="161"/>
        <v>85.6</v>
      </c>
      <c r="AG300" s="41">
        <f t="shared" si="158"/>
        <v>2.9654030874785589</v>
      </c>
      <c r="AH300" s="45">
        <f t="shared" si="132"/>
        <v>0.48871271538815902</v>
      </c>
      <c r="AI300" s="45">
        <f t="shared" si="133"/>
        <v>0.89138161200162214</v>
      </c>
      <c r="AJ300" s="21">
        <v>42.8</v>
      </c>
      <c r="AK300" s="21">
        <f t="shared" si="162"/>
        <v>0.28050000000000003</v>
      </c>
      <c r="AL300" s="21">
        <f t="shared" si="159"/>
        <v>0.42075000000000001</v>
      </c>
      <c r="AM300" s="21">
        <f t="shared" si="155"/>
        <v>43.220749999999995</v>
      </c>
      <c r="AN300" s="41">
        <f t="shared" si="135"/>
        <v>2.9654030874785589</v>
      </c>
      <c r="AO300" s="41">
        <f t="shared" si="136"/>
        <v>0.48871271538815902</v>
      </c>
      <c r="AP300" s="41">
        <f t="shared" si="137"/>
        <v>0.89138161200162214</v>
      </c>
      <c r="AQ300" s="21">
        <f t="shared" si="138"/>
        <v>0.30125120451937504</v>
      </c>
      <c r="AR300" s="21">
        <f t="shared" si="139"/>
        <v>55.689219999999999</v>
      </c>
      <c r="AS300" s="21">
        <f t="shared" si="140"/>
        <v>55.990471204519373</v>
      </c>
      <c r="AT300" s="41">
        <f t="shared" si="141"/>
        <v>4.8885037163442631</v>
      </c>
    </row>
    <row r="301" spans="1:60" x14ac:dyDescent="0.25">
      <c r="A301" s="1"/>
      <c r="B301" s="10" t="s">
        <v>314</v>
      </c>
      <c r="C301" s="9">
        <v>55</v>
      </c>
      <c r="D301" s="10">
        <v>300</v>
      </c>
      <c r="E301" s="9">
        <v>265</v>
      </c>
      <c r="F301" s="1">
        <v>3500</v>
      </c>
      <c r="G301" s="10">
        <v>3000</v>
      </c>
      <c r="H301" s="10">
        <v>100</v>
      </c>
      <c r="I301" s="10">
        <v>115</v>
      </c>
      <c r="J301" s="10">
        <v>100</v>
      </c>
      <c r="K301" s="10">
        <v>295</v>
      </c>
      <c r="L301" s="1">
        <f>2*E301</f>
        <v>530</v>
      </c>
      <c r="M301" s="10">
        <f t="shared" si="157"/>
        <v>430</v>
      </c>
      <c r="N301" s="10">
        <v>2</v>
      </c>
      <c r="O301" s="10">
        <v>12</v>
      </c>
      <c r="P301" s="27">
        <f t="shared" si="143"/>
        <v>226.1946710584651</v>
      </c>
      <c r="Q301" s="36">
        <f t="shared" si="142"/>
        <v>1.5519359935400693E-2</v>
      </c>
      <c r="R301" s="27">
        <f t="shared" si="160"/>
        <v>462.5</v>
      </c>
      <c r="S301" s="48">
        <f t="shared" si="153"/>
        <v>2</v>
      </c>
      <c r="T301" s="48">
        <f t="shared" si="154"/>
        <v>1.6226415094339623</v>
      </c>
      <c r="U301" s="10">
        <v>14</v>
      </c>
      <c r="V301" s="1">
        <f>0.82*44.6</f>
        <v>36.571999999999996</v>
      </c>
      <c r="W301" s="62" t="s">
        <v>457</v>
      </c>
      <c r="X301" s="7">
        <f t="shared" si="130"/>
        <v>0.75</v>
      </c>
      <c r="Y301" s="10">
        <v>50</v>
      </c>
      <c r="Z301" s="9">
        <v>1</v>
      </c>
      <c r="AA301" s="10">
        <v>0.5</v>
      </c>
      <c r="AB301" s="69">
        <v>100</v>
      </c>
      <c r="AC301" s="10">
        <v>1570</v>
      </c>
      <c r="AD301" s="7">
        <f t="shared" si="131"/>
        <v>0.75</v>
      </c>
      <c r="AE301" s="27">
        <f t="shared" si="126"/>
        <v>67800</v>
      </c>
      <c r="AF301" s="69">
        <f t="shared" si="161"/>
        <v>135.6</v>
      </c>
      <c r="AG301" s="48">
        <f t="shared" si="158"/>
        <v>4.680668953687821</v>
      </c>
      <c r="AH301" s="45">
        <f t="shared" si="132"/>
        <v>0.77398682955644404</v>
      </c>
      <c r="AI301" s="45">
        <f t="shared" si="133"/>
        <v>1.4101274143616191</v>
      </c>
      <c r="AJ301" s="27">
        <v>67.8</v>
      </c>
      <c r="AK301" s="21">
        <f t="shared" si="162"/>
        <v>0.28050000000000003</v>
      </c>
      <c r="AL301" s="27">
        <f t="shared" si="159"/>
        <v>0.42075000000000001</v>
      </c>
      <c r="AM301" s="27">
        <f t="shared" si="155"/>
        <v>68.220749999999995</v>
      </c>
      <c r="AN301" s="41">
        <f t="shared" si="135"/>
        <v>4.6806689536878219</v>
      </c>
      <c r="AO301" s="41">
        <f t="shared" si="136"/>
        <v>0.77398682955644427</v>
      </c>
      <c r="AP301" s="41">
        <f t="shared" si="137"/>
        <v>1.4101274143616194</v>
      </c>
      <c r="AQ301" s="21">
        <f t="shared" si="138"/>
        <v>0.17483565000000001</v>
      </c>
      <c r="AR301" s="21">
        <f t="shared" si="139"/>
        <v>35.933999999999997</v>
      </c>
      <c r="AS301" s="21">
        <f t="shared" si="140"/>
        <v>36.108835649999996</v>
      </c>
      <c r="AT301" s="41">
        <f t="shared" si="141"/>
        <v>1.9973359596576015</v>
      </c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</row>
    <row r="302" spans="1:60" x14ac:dyDescent="0.25">
      <c r="A302" t="s">
        <v>34</v>
      </c>
      <c r="B302" s="4" t="s">
        <v>315</v>
      </c>
      <c r="C302" s="8">
        <v>150</v>
      </c>
      <c r="D302" s="4">
        <v>610</v>
      </c>
      <c r="E302" s="8">
        <v>560</v>
      </c>
      <c r="F302" s="4">
        <v>1830</v>
      </c>
      <c r="G302" s="8">
        <v>1500</v>
      </c>
      <c r="H302" s="4">
        <v>165</v>
      </c>
      <c r="I302" s="8">
        <v>150</v>
      </c>
      <c r="J302" s="4">
        <v>165</v>
      </c>
      <c r="K302" s="8">
        <v>150</v>
      </c>
      <c r="L302">
        <f t="shared" ref="L302:L307" si="163">1830/2</f>
        <v>915</v>
      </c>
      <c r="M302">
        <f t="shared" si="157"/>
        <v>750</v>
      </c>
      <c r="N302" s="4">
        <v>6</v>
      </c>
      <c r="O302" s="4">
        <v>20</v>
      </c>
      <c r="P302" s="21">
        <v>1800</v>
      </c>
      <c r="Q302" s="29">
        <f t="shared" si="142"/>
        <v>2.1428571428571429E-2</v>
      </c>
      <c r="R302" s="21">
        <v>420</v>
      </c>
      <c r="S302" s="41">
        <f t="shared" si="153"/>
        <v>1.6339285714285714</v>
      </c>
      <c r="T302" s="41">
        <f t="shared" si="154"/>
        <v>1.3392857142857142</v>
      </c>
      <c r="U302" s="4">
        <v>14</v>
      </c>
      <c r="V302">
        <v>54.1</v>
      </c>
      <c r="W302" s="61" t="s">
        <v>456</v>
      </c>
      <c r="X302" s="7">
        <f t="shared" si="130"/>
        <v>1</v>
      </c>
      <c r="Y302" s="4">
        <v>30</v>
      </c>
      <c r="Z302" s="8">
        <v>0.75</v>
      </c>
      <c r="AA302" s="4">
        <v>0.5</v>
      </c>
      <c r="AB302" s="68">
        <f>Y302/AA302</f>
        <v>60</v>
      </c>
      <c r="AC302" s="4">
        <v>1200</v>
      </c>
      <c r="AD302" s="7">
        <f t="shared" si="131"/>
        <v>0.45</v>
      </c>
      <c r="AE302" s="21">
        <f t="shared" si="126"/>
        <v>276000</v>
      </c>
      <c r="AF302" s="68">
        <f t="shared" ref="AF302:AF307" si="164">AJ302</f>
        <v>276</v>
      </c>
      <c r="AG302" s="41">
        <f t="shared" si="158"/>
        <v>3.3061383928571426</v>
      </c>
      <c r="AH302" s="45">
        <f t="shared" si="132"/>
        <v>0.44949244477095934</v>
      </c>
      <c r="AI302" s="45">
        <f t="shared" si="133"/>
        <v>0.87415532448891942</v>
      </c>
      <c r="AJ302" s="21">
        <v>276</v>
      </c>
      <c r="AK302" s="21">
        <f t="shared" si="134"/>
        <v>2.2875000000000001</v>
      </c>
      <c r="AL302" s="21">
        <f t="shared" ref="AL302:AL365" si="165">25*C302/1000*D302/1000*F302/1000-25*C302/1000*D302/1000*F302/1000*(F302/2000-(F302-G302)/2000)*1/(G302/1000)-25*C302/1000*D302/1000*(F302-G302)/2000</f>
        <v>1.7156249999999997</v>
      </c>
      <c r="AM302" s="21">
        <f t="shared" si="155"/>
        <v>277.71562499999999</v>
      </c>
      <c r="AN302" s="41">
        <f t="shared" si="135"/>
        <v>3.3061383928571431</v>
      </c>
      <c r="AO302" s="41">
        <f t="shared" si="136"/>
        <v>0.4494924447709594</v>
      </c>
      <c r="AP302" s="41">
        <f t="shared" si="137"/>
        <v>0.87415532448891953</v>
      </c>
      <c r="AQ302" s="21">
        <f t="shared" si="138"/>
        <v>0.58108218749999985</v>
      </c>
      <c r="AR302" s="21">
        <f t="shared" si="139"/>
        <v>252.54</v>
      </c>
      <c r="AS302" s="21">
        <f t="shared" si="140"/>
        <v>253.12108218749998</v>
      </c>
      <c r="AT302" s="41">
        <f t="shared" si="141"/>
        <v>1.6275711259590762</v>
      </c>
      <c r="AU302" s="4"/>
    </row>
    <row r="303" spans="1:60" x14ac:dyDescent="0.25">
      <c r="A303">
        <v>1997</v>
      </c>
      <c r="B303" s="4" t="s">
        <v>316</v>
      </c>
      <c r="C303" s="8">
        <v>150</v>
      </c>
      <c r="D303" s="4">
        <v>610</v>
      </c>
      <c r="E303" s="8">
        <v>560</v>
      </c>
      <c r="F303" s="4">
        <v>1830</v>
      </c>
      <c r="G303" s="8">
        <v>1500</v>
      </c>
      <c r="H303" s="4">
        <v>165</v>
      </c>
      <c r="I303" s="8">
        <v>150</v>
      </c>
      <c r="J303" s="4">
        <v>165</v>
      </c>
      <c r="K303" s="8">
        <v>150</v>
      </c>
      <c r="L303">
        <f t="shared" si="163"/>
        <v>915</v>
      </c>
      <c r="M303">
        <f t="shared" si="157"/>
        <v>750</v>
      </c>
      <c r="N303" s="4">
        <v>6</v>
      </c>
      <c r="O303" s="4">
        <v>20</v>
      </c>
      <c r="P303" s="21">
        <v>1800</v>
      </c>
      <c r="Q303" s="29">
        <f t="shared" si="142"/>
        <v>2.1428571428571429E-2</v>
      </c>
      <c r="R303" s="21">
        <v>420</v>
      </c>
      <c r="S303" s="41">
        <f t="shared" si="153"/>
        <v>1.6339285714285714</v>
      </c>
      <c r="T303" s="41">
        <f t="shared" si="154"/>
        <v>1.3392857142857142</v>
      </c>
      <c r="U303" s="4">
        <v>14</v>
      </c>
      <c r="V303">
        <v>49.9</v>
      </c>
      <c r="W303" s="61" t="s">
        <v>456</v>
      </c>
      <c r="X303" s="7">
        <f t="shared" si="130"/>
        <v>1</v>
      </c>
      <c r="Y303" s="4">
        <v>30</v>
      </c>
      <c r="Z303" s="8">
        <v>1.5</v>
      </c>
      <c r="AA303" s="4">
        <v>0.5</v>
      </c>
      <c r="AB303" s="21">
        <v>60</v>
      </c>
      <c r="AC303" s="4">
        <v>1200</v>
      </c>
      <c r="AD303" s="7">
        <f t="shared" si="131"/>
        <v>0.9</v>
      </c>
      <c r="AE303" s="21">
        <f t="shared" si="126"/>
        <v>324000</v>
      </c>
      <c r="AF303" s="68">
        <f t="shared" si="164"/>
        <v>324</v>
      </c>
      <c r="AG303" s="41">
        <f t="shared" si="158"/>
        <v>3.8775669642857142</v>
      </c>
      <c r="AH303" s="45">
        <f t="shared" si="132"/>
        <v>0.54891997369876189</v>
      </c>
      <c r="AI303" s="45">
        <f t="shared" si="133"/>
        <v>1.0532362338533972</v>
      </c>
      <c r="AJ303" s="21">
        <v>324</v>
      </c>
      <c r="AK303" s="21">
        <f t="shared" si="134"/>
        <v>2.2875000000000001</v>
      </c>
      <c r="AL303" s="21">
        <f t="shared" si="165"/>
        <v>1.7156249999999997</v>
      </c>
      <c r="AM303" s="21">
        <f t="shared" si="155"/>
        <v>325.71562499999999</v>
      </c>
      <c r="AN303" s="41">
        <f t="shared" si="135"/>
        <v>3.8775669642857142</v>
      </c>
      <c r="AO303" s="41">
        <f t="shared" si="136"/>
        <v>0.54891997369876189</v>
      </c>
      <c r="AP303" s="41">
        <f t="shared" si="137"/>
        <v>1.0532362338533972</v>
      </c>
      <c r="AQ303" s="21">
        <f t="shared" si="138"/>
        <v>0.58108218749999985</v>
      </c>
      <c r="AR303" s="21">
        <f t="shared" si="139"/>
        <v>296.45999999999998</v>
      </c>
      <c r="AS303" s="21">
        <f t="shared" si="140"/>
        <v>297.04108218749997</v>
      </c>
      <c r="AT303" s="41">
        <f t="shared" si="141"/>
        <v>1.6285080088075294</v>
      </c>
      <c r="AU303" s="4"/>
    </row>
    <row r="304" spans="1:60" x14ac:dyDescent="0.25">
      <c r="B304" s="4" t="s">
        <v>317</v>
      </c>
      <c r="C304" s="8">
        <v>150</v>
      </c>
      <c r="D304" s="4">
        <v>610</v>
      </c>
      <c r="E304" s="8">
        <v>560</v>
      </c>
      <c r="F304" s="4">
        <v>1830</v>
      </c>
      <c r="G304" s="8">
        <v>1500</v>
      </c>
      <c r="H304" s="4">
        <v>165</v>
      </c>
      <c r="I304" s="8">
        <v>150</v>
      </c>
      <c r="J304" s="4">
        <v>165</v>
      </c>
      <c r="K304" s="8">
        <v>150</v>
      </c>
      <c r="L304">
        <f t="shared" si="163"/>
        <v>915</v>
      </c>
      <c r="M304">
        <f t="shared" si="157"/>
        <v>750</v>
      </c>
      <c r="N304" s="4">
        <v>6</v>
      </c>
      <c r="O304" s="4">
        <v>20</v>
      </c>
      <c r="P304" s="21">
        <v>1800</v>
      </c>
      <c r="Q304" s="29">
        <f t="shared" si="142"/>
        <v>2.1428571428571429E-2</v>
      </c>
      <c r="R304" s="21">
        <v>420</v>
      </c>
      <c r="S304" s="41">
        <f t="shared" si="153"/>
        <v>1.6339285714285714</v>
      </c>
      <c r="T304" s="41">
        <f t="shared" si="154"/>
        <v>1.3392857142857142</v>
      </c>
      <c r="U304" s="4">
        <v>14</v>
      </c>
      <c r="V304">
        <v>54.8</v>
      </c>
      <c r="W304" s="61" t="s">
        <v>456</v>
      </c>
      <c r="X304" s="7">
        <f t="shared" si="130"/>
        <v>1</v>
      </c>
      <c r="Y304" s="4">
        <v>30</v>
      </c>
      <c r="Z304" s="8">
        <v>0.4</v>
      </c>
      <c r="AA304" s="4">
        <v>0.5</v>
      </c>
      <c r="AB304" s="21">
        <v>60</v>
      </c>
      <c r="AC304" s="4">
        <v>1200</v>
      </c>
      <c r="AD304" s="7">
        <f t="shared" si="131"/>
        <v>0.24</v>
      </c>
      <c r="AE304" s="21">
        <f t="shared" si="126"/>
        <v>204000</v>
      </c>
      <c r="AF304" s="68">
        <f t="shared" si="164"/>
        <v>204</v>
      </c>
      <c r="AG304" s="41">
        <f t="shared" si="158"/>
        <v>2.4489955357142859</v>
      </c>
      <c r="AH304" s="45">
        <f t="shared" si="132"/>
        <v>0.33082453764358144</v>
      </c>
      <c r="AI304" s="45">
        <f t="shared" si="133"/>
        <v>0.64475463660922916</v>
      </c>
      <c r="AJ304" s="21">
        <v>204</v>
      </c>
      <c r="AK304" s="21">
        <f t="shared" si="134"/>
        <v>2.2875000000000001</v>
      </c>
      <c r="AL304" s="21">
        <f t="shared" si="165"/>
        <v>1.7156249999999997</v>
      </c>
      <c r="AM304" s="21">
        <f t="shared" si="155"/>
        <v>205.71562499999999</v>
      </c>
      <c r="AN304" s="41">
        <f t="shared" si="135"/>
        <v>2.4489955357142859</v>
      </c>
      <c r="AO304" s="41">
        <f t="shared" si="136"/>
        <v>0.33082453764358144</v>
      </c>
      <c r="AP304" s="41">
        <f t="shared" si="137"/>
        <v>0.64475463660922916</v>
      </c>
      <c r="AQ304" s="21">
        <f t="shared" si="138"/>
        <v>0.58108218749999985</v>
      </c>
      <c r="AR304" s="21">
        <f t="shared" si="139"/>
        <v>186.66</v>
      </c>
      <c r="AS304" s="21">
        <f t="shared" si="140"/>
        <v>187.24108218749998</v>
      </c>
      <c r="AT304" s="41">
        <f t="shared" si="141"/>
        <v>1.6253460345310251</v>
      </c>
      <c r="AU304" s="4"/>
    </row>
    <row r="305" spans="1:60" x14ac:dyDescent="0.25">
      <c r="B305" s="4" t="s">
        <v>318</v>
      </c>
      <c r="C305" s="8">
        <v>150</v>
      </c>
      <c r="D305" s="4">
        <v>610</v>
      </c>
      <c r="E305" s="8">
        <v>560</v>
      </c>
      <c r="F305" s="4">
        <v>1830</v>
      </c>
      <c r="G305" s="8">
        <v>1500</v>
      </c>
      <c r="H305" s="4">
        <v>165</v>
      </c>
      <c r="I305" s="8">
        <v>150</v>
      </c>
      <c r="J305" s="4">
        <v>165</v>
      </c>
      <c r="K305" s="8">
        <v>150</v>
      </c>
      <c r="L305">
        <f t="shared" si="163"/>
        <v>915</v>
      </c>
      <c r="M305">
        <f t="shared" si="157"/>
        <v>750</v>
      </c>
      <c r="N305" s="4">
        <v>6</v>
      </c>
      <c r="O305" s="4">
        <v>20</v>
      </c>
      <c r="P305" s="21">
        <v>1800</v>
      </c>
      <c r="Q305" s="29">
        <f t="shared" si="142"/>
        <v>2.1428571428571429E-2</v>
      </c>
      <c r="R305" s="21">
        <v>420</v>
      </c>
      <c r="S305" s="41">
        <f t="shared" si="153"/>
        <v>1.6339285714285714</v>
      </c>
      <c r="T305" s="41">
        <f t="shared" si="154"/>
        <v>1.3392857142857142</v>
      </c>
      <c r="U305" s="4">
        <v>14</v>
      </c>
      <c r="V305">
        <v>56.5</v>
      </c>
      <c r="W305" s="61" t="s">
        <v>456</v>
      </c>
      <c r="X305" s="7">
        <f t="shared" si="130"/>
        <v>1</v>
      </c>
      <c r="Y305" s="4">
        <v>30</v>
      </c>
      <c r="Z305" s="8">
        <v>0.6</v>
      </c>
      <c r="AA305" s="4">
        <v>0.5</v>
      </c>
      <c r="AB305" s="21">
        <v>60</v>
      </c>
      <c r="AC305" s="4">
        <v>1200</v>
      </c>
      <c r="AD305" s="7">
        <f t="shared" si="131"/>
        <v>0.36</v>
      </c>
      <c r="AE305" s="21">
        <f t="shared" si="126"/>
        <v>232000</v>
      </c>
      <c r="AF305" s="68">
        <f t="shared" si="164"/>
        <v>232</v>
      </c>
      <c r="AG305" s="41">
        <f t="shared" si="158"/>
        <v>2.7823288690476189</v>
      </c>
      <c r="AH305" s="45">
        <f t="shared" si="132"/>
        <v>0.37015552664155715</v>
      </c>
      <c r="AI305" s="45">
        <f t="shared" si="133"/>
        <v>0.72509066288085533</v>
      </c>
      <c r="AJ305" s="21">
        <v>232</v>
      </c>
      <c r="AK305" s="21">
        <f t="shared" si="134"/>
        <v>2.2875000000000001</v>
      </c>
      <c r="AL305" s="21">
        <f t="shared" si="165"/>
        <v>1.7156249999999997</v>
      </c>
      <c r="AM305" s="21">
        <f t="shared" si="155"/>
        <v>233.71562499999999</v>
      </c>
      <c r="AN305" s="41">
        <f t="shared" si="135"/>
        <v>2.7823288690476189</v>
      </c>
      <c r="AO305" s="41">
        <f t="shared" si="136"/>
        <v>0.37015552664155715</v>
      </c>
      <c r="AP305" s="41">
        <f t="shared" si="137"/>
        <v>0.72509066288085533</v>
      </c>
      <c r="AQ305" s="21">
        <f t="shared" si="138"/>
        <v>0.58108218749999985</v>
      </c>
      <c r="AR305" s="21">
        <f t="shared" si="139"/>
        <v>212.28</v>
      </c>
      <c r="AS305" s="21">
        <f t="shared" si="140"/>
        <v>212.86108218749999</v>
      </c>
      <c r="AT305" s="41">
        <f t="shared" si="141"/>
        <v>1.6263742543307551</v>
      </c>
      <c r="AU305" s="4"/>
    </row>
    <row r="306" spans="1:60" x14ac:dyDescent="0.25">
      <c r="B306" s="4" t="s">
        <v>319</v>
      </c>
      <c r="C306" s="8">
        <v>150</v>
      </c>
      <c r="D306" s="4">
        <v>610</v>
      </c>
      <c r="E306" s="8">
        <v>560</v>
      </c>
      <c r="F306" s="4">
        <v>1830</v>
      </c>
      <c r="G306" s="8">
        <v>1500</v>
      </c>
      <c r="H306" s="4">
        <v>165</v>
      </c>
      <c r="I306" s="8">
        <v>150</v>
      </c>
      <c r="J306" s="4">
        <v>165</v>
      </c>
      <c r="K306" s="8">
        <v>150</v>
      </c>
      <c r="L306">
        <f t="shared" si="163"/>
        <v>915</v>
      </c>
      <c r="M306">
        <f t="shared" si="157"/>
        <v>750</v>
      </c>
      <c r="N306" s="4">
        <v>6</v>
      </c>
      <c r="O306" s="4">
        <v>20</v>
      </c>
      <c r="P306" s="21">
        <v>1800</v>
      </c>
      <c r="Q306" s="29">
        <f t="shared" si="142"/>
        <v>2.1428571428571429E-2</v>
      </c>
      <c r="R306" s="21">
        <v>420</v>
      </c>
      <c r="S306" s="41">
        <f t="shared" si="153"/>
        <v>1.6339285714285714</v>
      </c>
      <c r="T306" s="41">
        <f t="shared" si="154"/>
        <v>1.3392857142857142</v>
      </c>
      <c r="U306" s="4">
        <v>14</v>
      </c>
      <c r="V306">
        <v>46.9</v>
      </c>
      <c r="W306" s="61" t="s">
        <v>456</v>
      </c>
      <c r="X306" s="7">
        <f t="shared" si="130"/>
        <v>1</v>
      </c>
      <c r="Y306" s="4">
        <v>50</v>
      </c>
      <c r="Z306" s="8">
        <v>0.4</v>
      </c>
      <c r="AA306" s="4">
        <v>0.5</v>
      </c>
      <c r="AB306" s="21">
        <v>60</v>
      </c>
      <c r="AC306" s="4">
        <v>1200</v>
      </c>
      <c r="AD306" s="7">
        <f t="shared" si="131"/>
        <v>0.24</v>
      </c>
      <c r="AE306" s="21">
        <f t="shared" ref="AE306:AE371" si="166">AJ306*1000</f>
        <v>247000</v>
      </c>
      <c r="AF306" s="68">
        <f t="shared" si="164"/>
        <v>247</v>
      </c>
      <c r="AG306" s="41">
        <f t="shared" si="158"/>
        <v>2.9609002976190473</v>
      </c>
      <c r="AH306" s="45">
        <f t="shared" si="132"/>
        <v>0.43235189047221101</v>
      </c>
      <c r="AI306" s="45">
        <f t="shared" si="133"/>
        <v>0.82104350408465476</v>
      </c>
      <c r="AJ306" s="21">
        <v>247</v>
      </c>
      <c r="AK306" s="21">
        <f t="shared" si="134"/>
        <v>2.2875000000000001</v>
      </c>
      <c r="AL306" s="21">
        <f t="shared" si="165"/>
        <v>1.7156249999999997</v>
      </c>
      <c r="AM306" s="21">
        <f t="shared" si="155"/>
        <v>248.71562499999999</v>
      </c>
      <c r="AN306" s="41">
        <f t="shared" si="135"/>
        <v>2.9609002976190477</v>
      </c>
      <c r="AO306" s="41">
        <f t="shared" si="136"/>
        <v>0.43235189047221106</v>
      </c>
      <c r="AP306" s="41">
        <f t="shared" si="137"/>
        <v>0.82104350408465487</v>
      </c>
      <c r="AQ306" s="21">
        <f t="shared" si="138"/>
        <v>0.58108218749999985</v>
      </c>
      <c r="AR306" s="21">
        <f t="shared" si="139"/>
        <v>226.005</v>
      </c>
      <c r="AS306" s="21">
        <f t="shared" si="140"/>
        <v>226.58608218749998</v>
      </c>
      <c r="AT306" s="41">
        <f t="shared" si="141"/>
        <v>1.6268298539999244</v>
      </c>
      <c r="AU306" s="4"/>
    </row>
    <row r="307" spans="1:60" x14ac:dyDescent="0.25">
      <c r="A307" s="1"/>
      <c r="B307" s="10" t="s">
        <v>320</v>
      </c>
      <c r="C307" s="9">
        <v>150</v>
      </c>
      <c r="D307" s="10">
        <v>610</v>
      </c>
      <c r="E307" s="9">
        <v>560</v>
      </c>
      <c r="F307" s="10">
        <v>1830</v>
      </c>
      <c r="G307" s="9">
        <v>1500</v>
      </c>
      <c r="H307" s="10">
        <v>165</v>
      </c>
      <c r="I307" s="9">
        <v>150</v>
      </c>
      <c r="J307" s="10">
        <v>165</v>
      </c>
      <c r="K307" s="9">
        <v>150</v>
      </c>
      <c r="L307" s="1">
        <f t="shared" si="163"/>
        <v>915</v>
      </c>
      <c r="M307" s="1">
        <f t="shared" si="157"/>
        <v>750</v>
      </c>
      <c r="N307" s="10">
        <v>6</v>
      </c>
      <c r="O307" s="10">
        <v>20</v>
      </c>
      <c r="P307" s="27">
        <v>1800</v>
      </c>
      <c r="Q307" s="36">
        <f t="shared" si="142"/>
        <v>2.1428571428571429E-2</v>
      </c>
      <c r="R307" s="27">
        <v>420</v>
      </c>
      <c r="S307" s="48">
        <f t="shared" si="153"/>
        <v>1.6339285714285714</v>
      </c>
      <c r="T307" s="48">
        <f t="shared" si="154"/>
        <v>1.3392857142857142</v>
      </c>
      <c r="U307" s="10">
        <v>14</v>
      </c>
      <c r="V307" s="1">
        <v>40.799999999999997</v>
      </c>
      <c r="W307" s="62" t="s">
        <v>456</v>
      </c>
      <c r="X307" s="7">
        <f t="shared" si="130"/>
        <v>1</v>
      </c>
      <c r="Y307" s="10">
        <v>50</v>
      </c>
      <c r="Z307" s="9">
        <v>0.6</v>
      </c>
      <c r="AA307" s="10">
        <v>0.5</v>
      </c>
      <c r="AB307" s="27">
        <v>60</v>
      </c>
      <c r="AC307" s="10">
        <v>1200</v>
      </c>
      <c r="AD307" s="7">
        <f t="shared" si="131"/>
        <v>0.36</v>
      </c>
      <c r="AE307" s="27">
        <f t="shared" si="166"/>
        <v>237000</v>
      </c>
      <c r="AF307" s="69">
        <f t="shared" si="164"/>
        <v>237</v>
      </c>
      <c r="AG307" s="48">
        <f t="shared" si="158"/>
        <v>2.8418526785714282</v>
      </c>
      <c r="AH307" s="45">
        <f t="shared" si="132"/>
        <v>0.44490929475170649</v>
      </c>
      <c r="AI307" s="45">
        <f t="shared" si="133"/>
        <v>0.82549574558692917</v>
      </c>
      <c r="AJ307" s="27">
        <v>237</v>
      </c>
      <c r="AK307" s="21">
        <f t="shared" si="134"/>
        <v>2.2875000000000001</v>
      </c>
      <c r="AL307" s="27">
        <f t="shared" si="165"/>
        <v>1.7156249999999997</v>
      </c>
      <c r="AM307" s="27">
        <f t="shared" si="155"/>
        <v>238.71562499999999</v>
      </c>
      <c r="AN307" s="41">
        <f t="shared" si="135"/>
        <v>2.8418526785714286</v>
      </c>
      <c r="AO307" s="41">
        <f t="shared" si="136"/>
        <v>0.44490929475170654</v>
      </c>
      <c r="AP307" s="41">
        <f t="shared" si="137"/>
        <v>0.82549574558692929</v>
      </c>
      <c r="AQ307" s="21">
        <f t="shared" si="138"/>
        <v>0.58108218749999985</v>
      </c>
      <c r="AR307" s="21">
        <f t="shared" si="139"/>
        <v>216.85499999999999</v>
      </c>
      <c r="AS307" s="21">
        <f t="shared" si="140"/>
        <v>217.43608218749998</v>
      </c>
      <c r="AT307" s="41">
        <f t="shared" si="141"/>
        <v>1.626532482705999</v>
      </c>
      <c r="AU307" s="10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</row>
    <row r="308" spans="1:60" x14ac:dyDescent="0.25">
      <c r="A308" t="s">
        <v>35</v>
      </c>
      <c r="B308" s="4" t="s">
        <v>321</v>
      </c>
      <c r="C308" s="8">
        <v>120</v>
      </c>
      <c r="D308" s="4">
        <v>200</v>
      </c>
      <c r="E308" s="8">
        <v>167.5</v>
      </c>
      <c r="F308" s="4">
        <v>950</v>
      </c>
      <c r="G308" s="8">
        <v>720</v>
      </c>
      <c r="H308" s="4">
        <v>30</v>
      </c>
      <c r="I308" s="8">
        <v>150</v>
      </c>
      <c r="J308" s="4">
        <v>30</v>
      </c>
      <c r="K308" s="8">
        <v>150</v>
      </c>
      <c r="L308" s="4">
        <v>240</v>
      </c>
      <c r="M308">
        <f t="shared" si="157"/>
        <v>210</v>
      </c>
      <c r="N308" s="4">
        <v>2</v>
      </c>
      <c r="O308" s="4">
        <v>13</v>
      </c>
      <c r="P308" s="21">
        <f>N308*PI()*(O308/2)^2</f>
        <v>265.46457922833753</v>
      </c>
      <c r="Q308" s="29">
        <f t="shared" si="142"/>
        <v>1.3207192996434703E-2</v>
      </c>
      <c r="R308" s="21">
        <v>399</v>
      </c>
      <c r="S308" s="41">
        <f t="shared" si="153"/>
        <v>1.4328358208955223</v>
      </c>
      <c r="T308" s="41">
        <f t="shared" si="154"/>
        <v>1.2537313432835822</v>
      </c>
      <c r="U308" s="4">
        <v>13</v>
      </c>
      <c r="V308" s="4">
        <v>25.7</v>
      </c>
      <c r="W308" t="s">
        <v>456</v>
      </c>
      <c r="X308" s="7">
        <f t="shared" si="130"/>
        <v>1</v>
      </c>
      <c r="Y308" s="4">
        <v>36</v>
      </c>
      <c r="Z308" s="8">
        <v>0.5</v>
      </c>
      <c r="AA308" s="4">
        <v>0.6</v>
      </c>
      <c r="AB308" s="21">
        <f>Y308/AA308</f>
        <v>60</v>
      </c>
      <c r="AC308" s="4">
        <v>1100</v>
      </c>
      <c r="AD308" s="7">
        <f t="shared" si="131"/>
        <v>0.3</v>
      </c>
      <c r="AE308" s="21">
        <f t="shared" si="166"/>
        <v>60900</v>
      </c>
      <c r="AF308" s="68">
        <f>2*AJ308</f>
        <v>121.8</v>
      </c>
      <c r="AG308" s="41">
        <f t="shared" si="158"/>
        <v>3.0405970149253729</v>
      </c>
      <c r="AH308" s="45">
        <f t="shared" si="132"/>
        <v>0.5997804464441101</v>
      </c>
      <c r="AI308" s="45">
        <f t="shared" si="133"/>
        <v>1.0303414154815631</v>
      </c>
      <c r="AJ308" s="21">
        <v>60.9</v>
      </c>
      <c r="AK308" s="21">
        <f t="shared" si="134"/>
        <v>0.6</v>
      </c>
      <c r="AL308" s="21">
        <f t="shared" si="165"/>
        <v>0.21599999999999997</v>
      </c>
      <c r="AM308" s="21">
        <f t="shared" si="155"/>
        <v>61.116</v>
      </c>
      <c r="AN308" s="41">
        <f t="shared" si="135"/>
        <v>3.0405970149253729</v>
      </c>
      <c r="AO308" s="41">
        <f t="shared" si="136"/>
        <v>0.5997804464441101</v>
      </c>
      <c r="AP308" s="41">
        <f t="shared" si="137"/>
        <v>1.0303414154815631</v>
      </c>
      <c r="AQ308" s="21">
        <f t="shared" si="138"/>
        <v>3.0592499999999988E-2</v>
      </c>
      <c r="AR308" s="21">
        <f t="shared" si="139"/>
        <v>14.616</v>
      </c>
      <c r="AS308" s="21">
        <f t="shared" si="140"/>
        <v>14.646592499999999</v>
      </c>
      <c r="AT308" s="41">
        <f t="shared" si="141"/>
        <v>1.4307602474570009</v>
      </c>
      <c r="AU308" s="4"/>
    </row>
    <row r="309" spans="1:60" x14ac:dyDescent="0.25">
      <c r="A309">
        <v>2003</v>
      </c>
      <c r="B309" s="4" t="s">
        <v>322</v>
      </c>
      <c r="C309" s="8">
        <v>120</v>
      </c>
      <c r="D309" s="4">
        <v>200</v>
      </c>
      <c r="E309" s="8">
        <v>167.5</v>
      </c>
      <c r="F309" s="4">
        <v>950</v>
      </c>
      <c r="G309" s="8">
        <v>720</v>
      </c>
      <c r="H309" s="4">
        <v>30</v>
      </c>
      <c r="I309" s="8">
        <v>150</v>
      </c>
      <c r="J309" s="4">
        <v>30</v>
      </c>
      <c r="K309" s="8">
        <v>150</v>
      </c>
      <c r="L309" s="4">
        <v>240</v>
      </c>
      <c r="M309">
        <f t="shared" si="157"/>
        <v>210</v>
      </c>
      <c r="N309" s="4">
        <v>2</v>
      </c>
      <c r="O309" s="4">
        <v>13</v>
      </c>
      <c r="P309" s="21">
        <f t="shared" ref="P309:P372" si="167">N309*PI()*(O309/2)^2</f>
        <v>265.46457922833753</v>
      </c>
      <c r="Q309" s="29">
        <f t="shared" si="142"/>
        <v>1.3207192996434703E-2</v>
      </c>
      <c r="R309" s="21">
        <v>399</v>
      </c>
      <c r="S309" s="41">
        <f t="shared" si="153"/>
        <v>1.4328358208955223</v>
      </c>
      <c r="T309" s="41">
        <f t="shared" si="154"/>
        <v>1.2537313432835822</v>
      </c>
      <c r="U309" s="4">
        <v>13</v>
      </c>
      <c r="V309" s="4">
        <v>25.3</v>
      </c>
      <c r="W309" t="s">
        <v>456</v>
      </c>
      <c r="X309" s="7">
        <f t="shared" si="130"/>
        <v>1</v>
      </c>
      <c r="Y309" s="4">
        <v>36</v>
      </c>
      <c r="Z309" s="8">
        <v>1</v>
      </c>
      <c r="AA309" s="4">
        <v>0.6</v>
      </c>
      <c r="AB309" s="21">
        <f t="shared" ref="AB309:AB330" si="168">Y309/AA309</f>
        <v>60</v>
      </c>
      <c r="AC309" s="4">
        <v>1100</v>
      </c>
      <c r="AD309" s="7">
        <f t="shared" si="131"/>
        <v>0.6</v>
      </c>
      <c r="AE309" s="21">
        <f t="shared" si="166"/>
        <v>79400</v>
      </c>
      <c r="AF309" s="68">
        <f>2*AJ309</f>
        <v>158.80000000000001</v>
      </c>
      <c r="AG309" s="41">
        <f t="shared" si="158"/>
        <v>3.9609950248756216</v>
      </c>
      <c r="AH309" s="45">
        <f t="shared" si="132"/>
        <v>0.78748816634786445</v>
      </c>
      <c r="AI309" s="45">
        <f t="shared" si="133"/>
        <v>1.3492656264525567</v>
      </c>
      <c r="AJ309" s="21">
        <v>79.400000000000006</v>
      </c>
      <c r="AK309" s="21">
        <f t="shared" si="134"/>
        <v>0.6</v>
      </c>
      <c r="AL309" s="21">
        <f t="shared" si="165"/>
        <v>0.21599999999999997</v>
      </c>
      <c r="AM309" s="21">
        <f t="shared" si="155"/>
        <v>79.616</v>
      </c>
      <c r="AN309" s="41">
        <f t="shared" si="135"/>
        <v>3.9609950248756221</v>
      </c>
      <c r="AO309" s="41">
        <f t="shared" si="136"/>
        <v>0.78748816634786456</v>
      </c>
      <c r="AP309" s="41">
        <f t="shared" si="137"/>
        <v>1.3492656264525569</v>
      </c>
      <c r="AQ309" s="21">
        <f t="shared" si="138"/>
        <v>3.0592499999999988E-2</v>
      </c>
      <c r="AR309" s="21">
        <f t="shared" si="139"/>
        <v>19.056000000000001</v>
      </c>
      <c r="AS309" s="21">
        <f t="shared" si="140"/>
        <v>19.086592500000002</v>
      </c>
      <c r="AT309" s="41">
        <f t="shared" si="141"/>
        <v>1.4312425388131691</v>
      </c>
      <c r="AU309" s="4"/>
    </row>
    <row r="310" spans="1:60" x14ac:dyDescent="0.25">
      <c r="B310" s="4" t="s">
        <v>323</v>
      </c>
      <c r="C310" s="8">
        <v>120</v>
      </c>
      <c r="D310" s="4">
        <v>200</v>
      </c>
      <c r="E310" s="8">
        <v>167.5</v>
      </c>
      <c r="F310" s="4">
        <v>950</v>
      </c>
      <c r="G310" s="8">
        <v>720</v>
      </c>
      <c r="H310" s="4">
        <v>30</v>
      </c>
      <c r="I310" s="8">
        <v>150</v>
      </c>
      <c r="J310" s="4">
        <v>30</v>
      </c>
      <c r="K310" s="8">
        <v>150</v>
      </c>
      <c r="L310" s="4">
        <v>240</v>
      </c>
      <c r="M310">
        <f t="shared" si="157"/>
        <v>210</v>
      </c>
      <c r="N310" s="4">
        <v>2</v>
      </c>
      <c r="O310" s="4">
        <v>13</v>
      </c>
      <c r="P310" s="21">
        <f t="shared" si="167"/>
        <v>265.46457922833753</v>
      </c>
      <c r="Q310" s="29">
        <f t="shared" si="142"/>
        <v>1.3207192996434703E-2</v>
      </c>
      <c r="R310" s="21">
        <v>399</v>
      </c>
      <c r="S310" s="41">
        <f t="shared" si="153"/>
        <v>1.4328358208955223</v>
      </c>
      <c r="T310" s="41">
        <f t="shared" si="154"/>
        <v>1.2537313432835822</v>
      </c>
      <c r="U310" s="4">
        <v>13</v>
      </c>
      <c r="V310" s="4">
        <v>23.9</v>
      </c>
      <c r="W310" t="s">
        <v>456</v>
      </c>
      <c r="X310" s="7">
        <f t="shared" si="130"/>
        <v>1</v>
      </c>
      <c r="Y310" s="4">
        <v>36</v>
      </c>
      <c r="Z310" s="8">
        <v>1.5</v>
      </c>
      <c r="AA310" s="4">
        <v>0.6</v>
      </c>
      <c r="AB310" s="21">
        <f t="shared" si="168"/>
        <v>60</v>
      </c>
      <c r="AC310" s="4">
        <v>1100</v>
      </c>
      <c r="AD310" s="7">
        <f t="shared" si="131"/>
        <v>0.9</v>
      </c>
      <c r="AE310" s="21">
        <f t="shared" si="166"/>
        <v>84300</v>
      </c>
      <c r="AF310" s="68">
        <f t="shared" ref="AF310:AF319" si="169">2*AJ310</f>
        <v>168.6</v>
      </c>
      <c r="AG310" s="41">
        <f t="shared" si="158"/>
        <v>4.2047761194029842</v>
      </c>
      <c r="AH310" s="45">
        <f t="shared" si="132"/>
        <v>0.86009005596163279</v>
      </c>
      <c r="AI310" s="45">
        <f t="shared" si="133"/>
        <v>1.4597447098642653</v>
      </c>
      <c r="AJ310" s="21">
        <v>84.3</v>
      </c>
      <c r="AK310" s="21">
        <f t="shared" si="134"/>
        <v>0.6</v>
      </c>
      <c r="AL310" s="21">
        <f t="shared" si="165"/>
        <v>0.21599999999999997</v>
      </c>
      <c r="AM310" s="21">
        <f t="shared" si="155"/>
        <v>84.515999999999991</v>
      </c>
      <c r="AN310" s="41">
        <f t="shared" si="135"/>
        <v>4.2047761194029842</v>
      </c>
      <c r="AO310" s="41">
        <f t="shared" si="136"/>
        <v>0.86009005596163279</v>
      </c>
      <c r="AP310" s="41">
        <f t="shared" si="137"/>
        <v>1.4597447098642653</v>
      </c>
      <c r="AQ310" s="21">
        <f t="shared" si="138"/>
        <v>3.0592499999999988E-2</v>
      </c>
      <c r="AR310" s="21">
        <f t="shared" si="139"/>
        <v>20.231999999999999</v>
      </c>
      <c r="AS310" s="21">
        <f t="shared" si="140"/>
        <v>20.2625925</v>
      </c>
      <c r="AT310" s="41">
        <f t="shared" si="141"/>
        <v>1.4313349128275987</v>
      </c>
      <c r="AU310" s="4"/>
    </row>
    <row r="311" spans="1:60" x14ac:dyDescent="0.25">
      <c r="B311" s="4" t="s">
        <v>324</v>
      </c>
      <c r="C311" s="8">
        <v>120</v>
      </c>
      <c r="D311" s="4">
        <v>200</v>
      </c>
      <c r="E311" s="8">
        <v>167.5</v>
      </c>
      <c r="F311" s="4">
        <v>950</v>
      </c>
      <c r="G311" s="8">
        <v>720</v>
      </c>
      <c r="H311" s="4">
        <v>30</v>
      </c>
      <c r="I311" s="8">
        <v>150</v>
      </c>
      <c r="J311" s="4">
        <v>30</v>
      </c>
      <c r="K311" s="8">
        <v>150</v>
      </c>
      <c r="L311" s="4">
        <v>240</v>
      </c>
      <c r="M311">
        <f t="shared" si="157"/>
        <v>210</v>
      </c>
      <c r="N311" s="4">
        <v>2</v>
      </c>
      <c r="O311" s="4">
        <v>13</v>
      </c>
      <c r="P311" s="21">
        <f t="shared" si="167"/>
        <v>265.46457922833753</v>
      </c>
      <c r="Q311" s="29">
        <f t="shared" si="142"/>
        <v>1.3207192996434703E-2</v>
      </c>
      <c r="R311" s="21">
        <v>399</v>
      </c>
      <c r="S311" s="41">
        <f t="shared" si="153"/>
        <v>1.4328358208955223</v>
      </c>
      <c r="T311" s="41">
        <f t="shared" si="154"/>
        <v>1.2537313432835822</v>
      </c>
      <c r="U311" s="4">
        <v>13</v>
      </c>
      <c r="V311" s="4">
        <v>57.8</v>
      </c>
      <c r="W311" t="s">
        <v>456</v>
      </c>
      <c r="X311" s="7">
        <f t="shared" si="130"/>
        <v>1</v>
      </c>
      <c r="Y311" s="4">
        <v>36</v>
      </c>
      <c r="Z311" s="8">
        <v>0.5</v>
      </c>
      <c r="AA311" s="4">
        <v>0.6</v>
      </c>
      <c r="AB311" s="21">
        <f t="shared" si="168"/>
        <v>60</v>
      </c>
      <c r="AC311" s="4">
        <v>1100</v>
      </c>
      <c r="AD311" s="7">
        <f t="shared" si="131"/>
        <v>0.3</v>
      </c>
      <c r="AE311" s="21">
        <f t="shared" si="166"/>
        <v>95200</v>
      </c>
      <c r="AF311" s="68">
        <f t="shared" si="169"/>
        <v>190.4</v>
      </c>
      <c r="AG311" s="41">
        <f t="shared" si="158"/>
        <v>4.7470646766169153</v>
      </c>
      <c r="AH311" s="45">
        <f t="shared" si="132"/>
        <v>0.62439760650020459</v>
      </c>
      <c r="AI311" s="45">
        <f t="shared" si="133"/>
        <v>1.2277667544590134</v>
      </c>
      <c r="AJ311" s="21">
        <v>95.2</v>
      </c>
      <c r="AK311" s="21">
        <f t="shared" si="134"/>
        <v>0.6</v>
      </c>
      <c r="AL311" s="21">
        <f t="shared" si="165"/>
        <v>0.21599999999999997</v>
      </c>
      <c r="AM311" s="21">
        <f t="shared" si="155"/>
        <v>95.415999999999997</v>
      </c>
      <c r="AN311" s="41">
        <f t="shared" si="135"/>
        <v>4.7470646766169153</v>
      </c>
      <c r="AO311" s="41">
        <f t="shared" si="136"/>
        <v>0.62439760650020459</v>
      </c>
      <c r="AP311" s="41">
        <f t="shared" si="137"/>
        <v>1.2277667544590134</v>
      </c>
      <c r="AQ311" s="21">
        <f t="shared" si="138"/>
        <v>3.0592499999999988E-2</v>
      </c>
      <c r="AR311" s="21">
        <f t="shared" si="139"/>
        <v>22.847999999999999</v>
      </c>
      <c r="AS311" s="21">
        <f t="shared" si="140"/>
        <v>22.8785925</v>
      </c>
      <c r="AT311" s="41">
        <f t="shared" si="141"/>
        <v>1.4315063714712262</v>
      </c>
      <c r="AU311" s="4"/>
    </row>
    <row r="312" spans="1:60" x14ac:dyDescent="0.25">
      <c r="B312" s="4" t="s">
        <v>325</v>
      </c>
      <c r="C312" s="8">
        <v>120</v>
      </c>
      <c r="D312" s="4">
        <v>200</v>
      </c>
      <c r="E312" s="8">
        <v>167.5</v>
      </c>
      <c r="F312" s="4">
        <v>950</v>
      </c>
      <c r="G312" s="8">
        <v>720</v>
      </c>
      <c r="H312" s="4">
        <v>30</v>
      </c>
      <c r="I312" s="8">
        <v>150</v>
      </c>
      <c r="J312" s="4">
        <v>30</v>
      </c>
      <c r="K312" s="8">
        <v>150</v>
      </c>
      <c r="L312" s="4">
        <v>240</v>
      </c>
      <c r="M312">
        <f t="shared" si="157"/>
        <v>210</v>
      </c>
      <c r="N312" s="4">
        <v>2</v>
      </c>
      <c r="O312" s="4">
        <v>13</v>
      </c>
      <c r="P312" s="21">
        <f t="shared" si="167"/>
        <v>265.46457922833753</v>
      </c>
      <c r="Q312" s="29">
        <f t="shared" si="142"/>
        <v>1.3207192996434703E-2</v>
      </c>
      <c r="R312" s="21">
        <v>399</v>
      </c>
      <c r="S312" s="41">
        <f t="shared" si="153"/>
        <v>1.4328358208955223</v>
      </c>
      <c r="T312" s="41">
        <f t="shared" si="154"/>
        <v>1.2537313432835822</v>
      </c>
      <c r="U312" s="4">
        <v>13</v>
      </c>
      <c r="V312" s="4">
        <v>61.5</v>
      </c>
      <c r="W312" t="s">
        <v>456</v>
      </c>
      <c r="X312" s="7">
        <f t="shared" si="130"/>
        <v>1</v>
      </c>
      <c r="Y312" s="4">
        <v>36</v>
      </c>
      <c r="Z312" s="8">
        <v>1</v>
      </c>
      <c r="AA312" s="4">
        <v>0.6</v>
      </c>
      <c r="AB312" s="21">
        <f t="shared" si="168"/>
        <v>60</v>
      </c>
      <c r="AC312" s="4">
        <v>1100</v>
      </c>
      <c r="AD312" s="7">
        <f t="shared" si="131"/>
        <v>0.6</v>
      </c>
      <c r="AE312" s="21">
        <f t="shared" si="166"/>
        <v>103000</v>
      </c>
      <c r="AF312" s="68">
        <f t="shared" si="169"/>
        <v>206</v>
      </c>
      <c r="AG312" s="41">
        <f t="shared" si="158"/>
        <v>5.1351243781094524</v>
      </c>
      <c r="AH312" s="45">
        <f t="shared" si="132"/>
        <v>0.65480714443328869</v>
      </c>
      <c r="AI312" s="45">
        <f t="shared" si="133"/>
        <v>1.3009459752627539</v>
      </c>
      <c r="AJ312" s="21">
        <v>103</v>
      </c>
      <c r="AK312" s="21">
        <f t="shared" si="134"/>
        <v>0.6</v>
      </c>
      <c r="AL312" s="21">
        <f t="shared" si="165"/>
        <v>0.21599999999999997</v>
      </c>
      <c r="AM312" s="21">
        <f t="shared" si="155"/>
        <v>103.21599999999999</v>
      </c>
      <c r="AN312" s="41">
        <f t="shared" si="135"/>
        <v>5.1351243781094524</v>
      </c>
      <c r="AO312" s="41">
        <f t="shared" si="136"/>
        <v>0.65480714443328869</v>
      </c>
      <c r="AP312" s="41">
        <f t="shared" si="137"/>
        <v>1.3009459752627539</v>
      </c>
      <c r="AQ312" s="21">
        <f t="shared" si="138"/>
        <v>3.0592499999999988E-2</v>
      </c>
      <c r="AR312" s="21">
        <f t="shared" si="139"/>
        <v>24.72</v>
      </c>
      <c r="AS312" s="21">
        <f t="shared" si="140"/>
        <v>24.7505925</v>
      </c>
      <c r="AT312" s="41">
        <f t="shared" si="141"/>
        <v>1.4316068375376259</v>
      </c>
      <c r="AU312" s="4"/>
    </row>
    <row r="313" spans="1:60" x14ac:dyDescent="0.25">
      <c r="B313" s="4" t="s">
        <v>326</v>
      </c>
      <c r="C313" s="8">
        <v>120</v>
      </c>
      <c r="D313" s="4">
        <v>200</v>
      </c>
      <c r="E313" s="8">
        <v>167.5</v>
      </c>
      <c r="F313" s="4">
        <v>950</v>
      </c>
      <c r="G313" s="8">
        <v>720</v>
      </c>
      <c r="H313" s="4">
        <v>30</v>
      </c>
      <c r="I313" s="8">
        <v>150</v>
      </c>
      <c r="J313" s="4">
        <v>30</v>
      </c>
      <c r="K313" s="8">
        <v>150</v>
      </c>
      <c r="L313" s="4">
        <v>240</v>
      </c>
      <c r="M313">
        <f t="shared" si="157"/>
        <v>210</v>
      </c>
      <c r="N313" s="4">
        <v>2</v>
      </c>
      <c r="O313" s="4">
        <v>19</v>
      </c>
      <c r="P313" s="21">
        <f t="shared" si="167"/>
        <v>567.05747397295761</v>
      </c>
      <c r="Q313" s="29">
        <f t="shared" si="142"/>
        <v>2.821181462552028E-2</v>
      </c>
      <c r="R313" s="21">
        <v>456</v>
      </c>
      <c r="S313" s="41">
        <f t="shared" si="153"/>
        <v>1.4328358208955223</v>
      </c>
      <c r="T313" s="41">
        <f t="shared" si="154"/>
        <v>1.2537313432835822</v>
      </c>
      <c r="U313" s="4">
        <v>13</v>
      </c>
      <c r="V313" s="4">
        <v>70.5</v>
      </c>
      <c r="W313" t="s">
        <v>456</v>
      </c>
      <c r="X313" s="7">
        <f t="shared" si="130"/>
        <v>1</v>
      </c>
      <c r="Y313" s="4">
        <v>36</v>
      </c>
      <c r="Z313" s="8">
        <v>0.5</v>
      </c>
      <c r="AA313" s="4">
        <v>0.6</v>
      </c>
      <c r="AB313" s="21">
        <f t="shared" si="168"/>
        <v>60</v>
      </c>
      <c r="AC313" s="4">
        <v>1100</v>
      </c>
      <c r="AD313" s="7">
        <f t="shared" si="131"/>
        <v>0.3</v>
      </c>
      <c r="AE313" s="21">
        <f t="shared" si="166"/>
        <v>178800</v>
      </c>
      <c r="AF313" s="68">
        <f t="shared" si="169"/>
        <v>357.6</v>
      </c>
      <c r="AG313" s="41">
        <f t="shared" si="158"/>
        <v>8.9062686567164189</v>
      </c>
      <c r="AH313" s="45">
        <f t="shared" si="132"/>
        <v>1.060721160982546</v>
      </c>
      <c r="AI313" s="45">
        <f t="shared" si="133"/>
        <v>2.1559205512895341</v>
      </c>
      <c r="AJ313" s="21">
        <v>178.8</v>
      </c>
      <c r="AK313" s="21">
        <f t="shared" si="134"/>
        <v>0.6</v>
      </c>
      <c r="AL313" s="21">
        <f t="shared" si="165"/>
        <v>0.21599999999999997</v>
      </c>
      <c r="AM313" s="21">
        <f t="shared" si="155"/>
        <v>179.01600000000002</v>
      </c>
      <c r="AN313" s="41">
        <f t="shared" si="135"/>
        <v>8.9062686567164189</v>
      </c>
      <c r="AO313" s="41">
        <f t="shared" si="136"/>
        <v>1.060721160982546</v>
      </c>
      <c r="AP313" s="41">
        <f t="shared" si="137"/>
        <v>2.1559205512895341</v>
      </c>
      <c r="AQ313" s="21">
        <f t="shared" si="138"/>
        <v>3.0592499999999988E-2</v>
      </c>
      <c r="AR313" s="21">
        <f t="shared" si="139"/>
        <v>42.911999999999999</v>
      </c>
      <c r="AS313" s="21">
        <f t="shared" si="140"/>
        <v>42.942592499999996</v>
      </c>
      <c r="AT313" s="41">
        <f t="shared" si="141"/>
        <v>1.4321272208470981</v>
      </c>
      <c r="AU313" s="4"/>
    </row>
    <row r="314" spans="1:60" x14ac:dyDescent="0.25">
      <c r="B314" s="4" t="s">
        <v>327</v>
      </c>
      <c r="C314" s="8">
        <v>120</v>
      </c>
      <c r="D314" s="4">
        <v>200</v>
      </c>
      <c r="E314" s="8">
        <v>167.5</v>
      </c>
      <c r="F314" s="4">
        <v>950</v>
      </c>
      <c r="G314" s="8">
        <v>720</v>
      </c>
      <c r="H314" s="4">
        <v>30</v>
      </c>
      <c r="I314" s="8">
        <v>150</v>
      </c>
      <c r="J314" s="4">
        <v>30</v>
      </c>
      <c r="K314" s="8">
        <v>150</v>
      </c>
      <c r="L314" s="4">
        <v>240</v>
      </c>
      <c r="M314">
        <f t="shared" si="157"/>
        <v>210</v>
      </c>
      <c r="N314" s="4">
        <v>2</v>
      </c>
      <c r="O314" s="4">
        <v>19</v>
      </c>
      <c r="P314" s="21">
        <f t="shared" si="167"/>
        <v>567.05747397295761</v>
      </c>
      <c r="Q314" s="29">
        <f t="shared" si="142"/>
        <v>2.821181462552028E-2</v>
      </c>
      <c r="R314" s="21">
        <v>456</v>
      </c>
      <c r="S314" s="41">
        <f t="shared" si="153"/>
        <v>1.4328358208955223</v>
      </c>
      <c r="T314" s="41">
        <f t="shared" si="154"/>
        <v>1.2537313432835822</v>
      </c>
      <c r="U314" s="4">
        <v>13</v>
      </c>
      <c r="V314" s="4">
        <v>67.3</v>
      </c>
      <c r="W314" t="s">
        <v>456</v>
      </c>
      <c r="X314" s="7">
        <f t="shared" si="130"/>
        <v>1</v>
      </c>
      <c r="Y314" s="4">
        <v>36</v>
      </c>
      <c r="Z314" s="8">
        <v>1</v>
      </c>
      <c r="AA314" s="4">
        <v>0.6</v>
      </c>
      <c r="AB314" s="21">
        <f t="shared" si="168"/>
        <v>60</v>
      </c>
      <c r="AC314" s="4">
        <v>1100</v>
      </c>
      <c r="AD314" s="7">
        <f t="shared" si="131"/>
        <v>0.6</v>
      </c>
      <c r="AE314" s="21">
        <f t="shared" si="166"/>
        <v>169500</v>
      </c>
      <c r="AF314" s="68">
        <f t="shared" si="169"/>
        <v>339</v>
      </c>
      <c r="AG314" s="41">
        <f t="shared" si="158"/>
        <v>8.4435820895522387</v>
      </c>
      <c r="AH314" s="45">
        <f t="shared" si="132"/>
        <v>1.0292460237762628</v>
      </c>
      <c r="AI314" s="45">
        <f t="shared" si="133"/>
        <v>2.0758137065430775</v>
      </c>
      <c r="AJ314" s="21">
        <v>169.5</v>
      </c>
      <c r="AK314" s="21">
        <f t="shared" si="134"/>
        <v>0.6</v>
      </c>
      <c r="AL314" s="21">
        <f t="shared" si="165"/>
        <v>0.21599999999999997</v>
      </c>
      <c r="AM314" s="21">
        <f t="shared" si="155"/>
        <v>169.71600000000001</v>
      </c>
      <c r="AN314" s="41">
        <f t="shared" si="135"/>
        <v>8.4435820895522387</v>
      </c>
      <c r="AO314" s="41">
        <f t="shared" si="136"/>
        <v>1.0292460237762628</v>
      </c>
      <c r="AP314" s="41">
        <f t="shared" si="137"/>
        <v>2.0758137065430775</v>
      </c>
      <c r="AQ314" s="21">
        <f t="shared" si="138"/>
        <v>3.0592499999999988E-2</v>
      </c>
      <c r="AR314" s="21">
        <f t="shared" si="139"/>
        <v>40.68</v>
      </c>
      <c r="AS314" s="21">
        <f t="shared" si="140"/>
        <v>40.710592499999997</v>
      </c>
      <c r="AT314" s="41">
        <f t="shared" si="141"/>
        <v>1.4320883913881768</v>
      </c>
      <c r="AU314" s="4"/>
    </row>
    <row r="315" spans="1:60" x14ac:dyDescent="0.25">
      <c r="B315" s="4" t="s">
        <v>328</v>
      </c>
      <c r="C315" s="8">
        <v>120</v>
      </c>
      <c r="D315" s="4">
        <v>200</v>
      </c>
      <c r="E315" s="8">
        <v>167.5</v>
      </c>
      <c r="F315" s="4">
        <v>950</v>
      </c>
      <c r="G315" s="8">
        <v>720</v>
      </c>
      <c r="H315" s="4">
        <v>30</v>
      </c>
      <c r="I315" s="8">
        <v>150</v>
      </c>
      <c r="J315" s="4">
        <v>30</v>
      </c>
      <c r="K315" s="8">
        <v>150</v>
      </c>
      <c r="L315" s="4">
        <v>240</v>
      </c>
      <c r="M315">
        <f t="shared" si="157"/>
        <v>210</v>
      </c>
      <c r="N315" s="4">
        <v>2</v>
      </c>
      <c r="O315" s="4">
        <v>19</v>
      </c>
      <c r="P315" s="21">
        <f t="shared" si="167"/>
        <v>567.05747397295761</v>
      </c>
      <c r="Q315" s="29">
        <f t="shared" si="142"/>
        <v>2.821181462552028E-2</v>
      </c>
      <c r="R315" s="21">
        <v>456</v>
      </c>
      <c r="S315" s="41">
        <f t="shared" si="153"/>
        <v>1.4328358208955223</v>
      </c>
      <c r="T315" s="41">
        <f t="shared" si="154"/>
        <v>1.2537313432835822</v>
      </c>
      <c r="U315" s="4">
        <v>13</v>
      </c>
      <c r="V315" s="4">
        <v>67.3</v>
      </c>
      <c r="W315" t="s">
        <v>456</v>
      </c>
      <c r="X315" s="7">
        <f t="shared" si="130"/>
        <v>1</v>
      </c>
      <c r="Y315" s="4">
        <v>36</v>
      </c>
      <c r="Z315" s="8">
        <v>1.5</v>
      </c>
      <c r="AA315" s="4">
        <v>0.6</v>
      </c>
      <c r="AB315" s="21">
        <f t="shared" si="168"/>
        <v>60</v>
      </c>
      <c r="AC315" s="4">
        <v>1100</v>
      </c>
      <c r="AD315" s="7">
        <f t="shared" si="131"/>
        <v>0.9</v>
      </c>
      <c r="AE315" s="21">
        <f t="shared" si="166"/>
        <v>186700</v>
      </c>
      <c r="AF315" s="68">
        <f t="shared" si="169"/>
        <v>373.4</v>
      </c>
      <c r="AG315" s="41">
        <f t="shared" si="158"/>
        <v>9.2993034825870637</v>
      </c>
      <c r="AH315" s="45">
        <f t="shared" si="132"/>
        <v>1.133555762451177</v>
      </c>
      <c r="AI315" s="45">
        <f t="shared" si="133"/>
        <v>2.2861886608935271</v>
      </c>
      <c r="AJ315" s="21">
        <v>186.7</v>
      </c>
      <c r="AK315" s="21">
        <f t="shared" si="134"/>
        <v>0.6</v>
      </c>
      <c r="AL315" s="21">
        <f t="shared" si="165"/>
        <v>0.21599999999999997</v>
      </c>
      <c r="AM315" s="21">
        <f t="shared" si="155"/>
        <v>186.916</v>
      </c>
      <c r="AN315" s="41">
        <f t="shared" si="135"/>
        <v>9.2993034825870655</v>
      </c>
      <c r="AO315" s="41">
        <f t="shared" si="136"/>
        <v>1.1335557624511772</v>
      </c>
      <c r="AP315" s="41">
        <f t="shared" si="137"/>
        <v>2.2861886608935276</v>
      </c>
      <c r="AQ315" s="21">
        <f t="shared" si="138"/>
        <v>3.0592499999999988E-2</v>
      </c>
      <c r="AR315" s="21">
        <f t="shared" si="139"/>
        <v>44.808</v>
      </c>
      <c r="AS315" s="21">
        <f t="shared" si="140"/>
        <v>44.838592499999997</v>
      </c>
      <c r="AT315" s="41">
        <f t="shared" si="141"/>
        <v>1.4321571698101756</v>
      </c>
      <c r="AU315" s="4"/>
    </row>
    <row r="316" spans="1:60" x14ac:dyDescent="0.25">
      <c r="B316" s="4" t="s">
        <v>329</v>
      </c>
      <c r="C316" s="8">
        <v>120</v>
      </c>
      <c r="D316" s="4">
        <v>200</v>
      </c>
      <c r="E316" s="8">
        <v>167.5</v>
      </c>
      <c r="F316" s="4">
        <v>950</v>
      </c>
      <c r="G316" s="8">
        <v>720</v>
      </c>
      <c r="H316" s="4">
        <v>30</v>
      </c>
      <c r="I316" s="8">
        <v>150</v>
      </c>
      <c r="J316" s="4">
        <v>30</v>
      </c>
      <c r="K316" s="8">
        <v>150</v>
      </c>
      <c r="L316" s="4">
        <v>240</v>
      </c>
      <c r="M316">
        <f t="shared" si="157"/>
        <v>210</v>
      </c>
      <c r="N316" s="4">
        <v>2</v>
      </c>
      <c r="O316" s="4">
        <v>16</v>
      </c>
      <c r="P316" s="21">
        <f t="shared" si="167"/>
        <v>402.12385965949352</v>
      </c>
      <c r="Q316" s="29">
        <f t="shared" si="142"/>
        <v>2.0006162172114105E-2</v>
      </c>
      <c r="R316" s="21">
        <v>442</v>
      </c>
      <c r="S316" s="41">
        <f t="shared" si="153"/>
        <v>1.4328358208955223</v>
      </c>
      <c r="T316" s="41">
        <f t="shared" si="154"/>
        <v>1.2537313432835822</v>
      </c>
      <c r="U316" s="4">
        <v>13</v>
      </c>
      <c r="V316" s="4">
        <v>82.4</v>
      </c>
      <c r="W316" t="s">
        <v>456</v>
      </c>
      <c r="X316" s="7">
        <f t="shared" si="130"/>
        <v>1</v>
      </c>
      <c r="Y316" s="4">
        <v>36</v>
      </c>
      <c r="Z316" s="8">
        <v>0.5</v>
      </c>
      <c r="AA316" s="4">
        <v>0.6</v>
      </c>
      <c r="AB316" s="21">
        <f t="shared" si="168"/>
        <v>60</v>
      </c>
      <c r="AC316" s="4">
        <v>1100</v>
      </c>
      <c r="AD316" s="7">
        <f t="shared" si="131"/>
        <v>0.3</v>
      </c>
      <c r="AE316" s="21">
        <f t="shared" si="166"/>
        <v>157900</v>
      </c>
      <c r="AF316" s="68">
        <f t="shared" si="169"/>
        <v>315.8</v>
      </c>
      <c r="AG316" s="41">
        <f t="shared" si="158"/>
        <v>7.8664676616915434</v>
      </c>
      <c r="AH316" s="45">
        <f t="shared" si="132"/>
        <v>0.8665949538197808</v>
      </c>
      <c r="AI316" s="45">
        <f t="shared" si="133"/>
        <v>1.8077457856988257</v>
      </c>
      <c r="AJ316" s="21">
        <v>157.9</v>
      </c>
      <c r="AK316" s="21">
        <f t="shared" si="134"/>
        <v>0.6</v>
      </c>
      <c r="AL316" s="21">
        <f t="shared" si="165"/>
        <v>0.21599999999999997</v>
      </c>
      <c r="AM316" s="21">
        <f t="shared" si="155"/>
        <v>158.11600000000001</v>
      </c>
      <c r="AN316" s="41">
        <f t="shared" si="135"/>
        <v>7.8664676616915425</v>
      </c>
      <c r="AO316" s="41">
        <f t="shared" si="136"/>
        <v>0.86659495381978069</v>
      </c>
      <c r="AP316" s="41">
        <f t="shared" si="137"/>
        <v>1.8077457856988255</v>
      </c>
      <c r="AQ316" s="21">
        <f t="shared" si="138"/>
        <v>3.0592499999999988E-2</v>
      </c>
      <c r="AR316" s="21">
        <f t="shared" si="139"/>
        <v>37.896000000000001</v>
      </c>
      <c r="AS316" s="21">
        <f t="shared" si="140"/>
        <v>37.926592499999998</v>
      </c>
      <c r="AT316" s="41">
        <f t="shared" si="141"/>
        <v>1.4320335570748546</v>
      </c>
      <c r="AU316" s="4"/>
    </row>
    <row r="317" spans="1:60" x14ac:dyDescent="0.25">
      <c r="B317" s="4" t="s">
        <v>330</v>
      </c>
      <c r="C317" s="8">
        <v>120</v>
      </c>
      <c r="D317" s="4">
        <v>200</v>
      </c>
      <c r="E317" s="8">
        <v>167.5</v>
      </c>
      <c r="F317" s="4">
        <v>950</v>
      </c>
      <c r="G317" s="8">
        <v>720</v>
      </c>
      <c r="H317" s="4">
        <v>30</v>
      </c>
      <c r="I317" s="8">
        <v>150</v>
      </c>
      <c r="J317" s="4">
        <v>30</v>
      </c>
      <c r="K317" s="8">
        <v>150</v>
      </c>
      <c r="L317" s="4">
        <v>240</v>
      </c>
      <c r="M317">
        <f t="shared" si="157"/>
        <v>210</v>
      </c>
      <c r="N317" s="4">
        <v>2</v>
      </c>
      <c r="O317" s="4">
        <v>16</v>
      </c>
      <c r="P317" s="21">
        <f t="shared" si="167"/>
        <v>402.12385965949352</v>
      </c>
      <c r="Q317" s="29">
        <f t="shared" si="142"/>
        <v>2.0006162172114105E-2</v>
      </c>
      <c r="R317" s="21">
        <v>442</v>
      </c>
      <c r="S317" s="41">
        <f t="shared" si="153"/>
        <v>1.4328358208955223</v>
      </c>
      <c r="T317" s="41">
        <f t="shared" si="154"/>
        <v>1.2537313432835822</v>
      </c>
      <c r="U317" s="4">
        <v>13</v>
      </c>
      <c r="V317" s="4">
        <v>81.099999999999994</v>
      </c>
      <c r="W317" t="s">
        <v>456</v>
      </c>
      <c r="X317" s="7">
        <f t="shared" si="130"/>
        <v>1</v>
      </c>
      <c r="Y317" s="4">
        <v>36</v>
      </c>
      <c r="Z317" s="8">
        <v>1</v>
      </c>
      <c r="AA317" s="4">
        <v>0.6</v>
      </c>
      <c r="AB317" s="21">
        <f t="shared" si="168"/>
        <v>60</v>
      </c>
      <c r="AC317" s="4">
        <v>1100</v>
      </c>
      <c r="AD317" s="7">
        <f t="shared" si="131"/>
        <v>0.6</v>
      </c>
      <c r="AE317" s="21">
        <f t="shared" si="166"/>
        <v>162800</v>
      </c>
      <c r="AF317" s="68">
        <f t="shared" si="169"/>
        <v>325.60000000000002</v>
      </c>
      <c r="AG317" s="41">
        <f t="shared" si="158"/>
        <v>8.1102487562189065</v>
      </c>
      <c r="AH317" s="45">
        <f t="shared" si="132"/>
        <v>0.90058300672774516</v>
      </c>
      <c r="AI317" s="45">
        <f t="shared" si="133"/>
        <v>1.8736733957177283</v>
      </c>
      <c r="AJ317" s="21">
        <v>162.80000000000001</v>
      </c>
      <c r="AK317" s="21">
        <f t="shared" si="134"/>
        <v>0.6</v>
      </c>
      <c r="AL317" s="21">
        <f t="shared" si="165"/>
        <v>0.21599999999999997</v>
      </c>
      <c r="AM317" s="21">
        <f t="shared" si="155"/>
        <v>163.01600000000002</v>
      </c>
      <c r="AN317" s="41">
        <f t="shared" si="135"/>
        <v>8.1102487562189065</v>
      </c>
      <c r="AO317" s="41">
        <f t="shared" si="136"/>
        <v>0.90058300672774516</v>
      </c>
      <c r="AP317" s="41">
        <f t="shared" si="137"/>
        <v>1.8736733957177283</v>
      </c>
      <c r="AQ317" s="21">
        <f t="shared" si="138"/>
        <v>3.0592499999999988E-2</v>
      </c>
      <c r="AR317" s="21">
        <f t="shared" si="139"/>
        <v>39.072000000000003</v>
      </c>
      <c r="AS317" s="21">
        <f t="shared" si="140"/>
        <v>39.1025925</v>
      </c>
      <c r="AT317" s="41">
        <f t="shared" si="141"/>
        <v>1.4320576718410205</v>
      </c>
      <c r="AU317" s="4"/>
    </row>
    <row r="318" spans="1:60" x14ac:dyDescent="0.25">
      <c r="B318" s="4" t="s">
        <v>331</v>
      </c>
      <c r="C318" s="8">
        <v>120</v>
      </c>
      <c r="D318" s="4">
        <v>200</v>
      </c>
      <c r="E318" s="8">
        <v>167.5</v>
      </c>
      <c r="F318" s="4">
        <v>950</v>
      </c>
      <c r="G318" s="8">
        <v>720</v>
      </c>
      <c r="H318" s="4">
        <v>30</v>
      </c>
      <c r="I318" s="8">
        <v>150</v>
      </c>
      <c r="J318" s="4">
        <v>30</v>
      </c>
      <c r="K318" s="8">
        <v>150</v>
      </c>
      <c r="L318" s="4">
        <v>240</v>
      </c>
      <c r="M318">
        <f t="shared" si="157"/>
        <v>210</v>
      </c>
      <c r="N318" s="4">
        <v>2</v>
      </c>
      <c r="O318" s="4">
        <v>19</v>
      </c>
      <c r="P318" s="21">
        <f t="shared" si="167"/>
        <v>567.05747397295761</v>
      </c>
      <c r="Q318" s="29">
        <f t="shared" si="142"/>
        <v>2.821181462552028E-2</v>
      </c>
      <c r="R318" s="21">
        <v>343</v>
      </c>
      <c r="S318" s="41">
        <f t="shared" si="153"/>
        <v>1.4328358208955223</v>
      </c>
      <c r="T318" s="41">
        <f t="shared" si="154"/>
        <v>1.2537313432835822</v>
      </c>
      <c r="U318" s="4">
        <v>13</v>
      </c>
      <c r="V318" s="4">
        <v>86.1</v>
      </c>
      <c r="W318" t="s">
        <v>456</v>
      </c>
      <c r="X318" s="7">
        <f t="shared" si="130"/>
        <v>1</v>
      </c>
      <c r="Y318" s="4">
        <v>36</v>
      </c>
      <c r="Z318" s="8">
        <v>0.5</v>
      </c>
      <c r="AA318" s="4">
        <v>0.6</v>
      </c>
      <c r="AB318" s="21">
        <f t="shared" si="168"/>
        <v>60</v>
      </c>
      <c r="AC318" s="4">
        <v>1100</v>
      </c>
      <c r="AD318" s="7">
        <f t="shared" si="131"/>
        <v>0.3</v>
      </c>
      <c r="AE318" s="21">
        <f t="shared" si="166"/>
        <v>153500</v>
      </c>
      <c r="AF318" s="68">
        <f t="shared" si="169"/>
        <v>307</v>
      </c>
      <c r="AG318" s="41">
        <f t="shared" si="158"/>
        <v>7.6475621890547272</v>
      </c>
      <c r="AH318" s="45">
        <f t="shared" si="132"/>
        <v>0.82417880458169601</v>
      </c>
      <c r="AI318" s="45">
        <f t="shared" si="133"/>
        <v>1.7318966286719628</v>
      </c>
      <c r="AJ318" s="21">
        <v>153.5</v>
      </c>
      <c r="AK318" s="21">
        <f t="shared" si="134"/>
        <v>0.6</v>
      </c>
      <c r="AL318" s="21">
        <f t="shared" si="165"/>
        <v>0.21599999999999997</v>
      </c>
      <c r="AM318" s="21">
        <f t="shared" si="155"/>
        <v>153.71600000000001</v>
      </c>
      <c r="AN318" s="41">
        <f t="shared" si="135"/>
        <v>7.6475621890547263</v>
      </c>
      <c r="AO318" s="41">
        <f t="shared" si="136"/>
        <v>0.8241788045816959</v>
      </c>
      <c r="AP318" s="41">
        <f t="shared" si="137"/>
        <v>1.7318966286719626</v>
      </c>
      <c r="AQ318" s="21">
        <f t="shared" si="138"/>
        <v>3.0592499999999988E-2</v>
      </c>
      <c r="AR318" s="21">
        <f t="shared" si="139"/>
        <v>36.840000000000003</v>
      </c>
      <c r="AS318" s="21">
        <f t="shared" si="140"/>
        <v>36.870592500000001</v>
      </c>
      <c r="AT318" s="41">
        <f t="shared" si="141"/>
        <v>1.4320105929018934</v>
      </c>
      <c r="AU318" s="4"/>
    </row>
    <row r="319" spans="1:60" x14ac:dyDescent="0.25">
      <c r="A319" s="1"/>
      <c r="B319" s="10" t="s">
        <v>332</v>
      </c>
      <c r="C319" s="9">
        <v>120</v>
      </c>
      <c r="D319" s="10">
        <v>200</v>
      </c>
      <c r="E319" s="9">
        <v>167.5</v>
      </c>
      <c r="F319" s="10">
        <v>950</v>
      </c>
      <c r="G319" s="9">
        <v>720</v>
      </c>
      <c r="H319" s="10">
        <v>30</v>
      </c>
      <c r="I319" s="9">
        <v>150</v>
      </c>
      <c r="J319" s="10">
        <v>30</v>
      </c>
      <c r="K319" s="9">
        <v>150</v>
      </c>
      <c r="L319" s="10">
        <v>240</v>
      </c>
      <c r="M319" s="1">
        <f t="shared" si="157"/>
        <v>210</v>
      </c>
      <c r="N319" s="10">
        <v>2</v>
      </c>
      <c r="O319" s="10">
        <v>19</v>
      </c>
      <c r="P319" s="27">
        <f t="shared" si="167"/>
        <v>567.05747397295761</v>
      </c>
      <c r="Q319" s="36">
        <f t="shared" si="142"/>
        <v>2.821181462552028E-2</v>
      </c>
      <c r="R319" s="27">
        <v>343</v>
      </c>
      <c r="S319" s="48">
        <f t="shared" si="153"/>
        <v>1.4328358208955223</v>
      </c>
      <c r="T319" s="48">
        <f t="shared" si="154"/>
        <v>1.2537313432835822</v>
      </c>
      <c r="U319" s="10">
        <v>13</v>
      </c>
      <c r="V319" s="10">
        <v>89.4</v>
      </c>
      <c r="W319" s="1" t="s">
        <v>456</v>
      </c>
      <c r="X319" s="7">
        <f t="shared" si="130"/>
        <v>1</v>
      </c>
      <c r="Y319" s="10">
        <v>36</v>
      </c>
      <c r="Z319" s="9">
        <v>1</v>
      </c>
      <c r="AA319" s="10">
        <v>0.6</v>
      </c>
      <c r="AB319" s="27">
        <f t="shared" si="168"/>
        <v>60</v>
      </c>
      <c r="AC319" s="10">
        <v>1100</v>
      </c>
      <c r="AD319" s="7">
        <f t="shared" si="131"/>
        <v>0.6</v>
      </c>
      <c r="AE319" s="27">
        <f t="shared" si="166"/>
        <v>170600</v>
      </c>
      <c r="AF319" s="69">
        <f t="shared" si="169"/>
        <v>341.2</v>
      </c>
      <c r="AG319" s="48">
        <f t="shared" si="158"/>
        <v>8.4983084577114436</v>
      </c>
      <c r="AH319" s="45">
        <f t="shared" si="132"/>
        <v>0.89880138082593475</v>
      </c>
      <c r="AI319" s="45">
        <f t="shared" si="133"/>
        <v>1.9005821702929926</v>
      </c>
      <c r="AJ319" s="27">
        <v>170.6</v>
      </c>
      <c r="AK319" s="21">
        <f t="shared" si="134"/>
        <v>0.6</v>
      </c>
      <c r="AL319" s="27">
        <f t="shared" si="165"/>
        <v>0.21599999999999997</v>
      </c>
      <c r="AM319" s="27">
        <f t="shared" si="155"/>
        <v>170.816</v>
      </c>
      <c r="AN319" s="41">
        <f t="shared" si="135"/>
        <v>8.4983084577114436</v>
      </c>
      <c r="AO319" s="41">
        <f t="shared" si="136"/>
        <v>0.89880138082593475</v>
      </c>
      <c r="AP319" s="41">
        <f t="shared" si="137"/>
        <v>1.9005821702929926</v>
      </c>
      <c r="AQ319" s="21">
        <f t="shared" si="138"/>
        <v>3.0592499999999988E-2</v>
      </c>
      <c r="AR319" s="21">
        <f t="shared" si="139"/>
        <v>40.944000000000003</v>
      </c>
      <c r="AS319" s="21">
        <f t="shared" si="140"/>
        <v>40.9745925</v>
      </c>
      <c r="AT319" s="41">
        <f t="shared" si="141"/>
        <v>1.432093204593369</v>
      </c>
      <c r="AU319" s="10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</row>
    <row r="320" spans="1:60" x14ac:dyDescent="0.25">
      <c r="A320" t="s">
        <v>36</v>
      </c>
      <c r="B320" s="4" t="s">
        <v>333</v>
      </c>
      <c r="C320" s="8">
        <v>200</v>
      </c>
      <c r="D320" s="4">
        <v>300</v>
      </c>
      <c r="E320" s="8">
        <v>265</v>
      </c>
      <c r="F320" s="4">
        <v>2400</v>
      </c>
      <c r="G320" s="8">
        <v>2000</v>
      </c>
      <c r="H320" s="4">
        <v>100</v>
      </c>
      <c r="I320" s="8">
        <v>200</v>
      </c>
      <c r="J320" s="4">
        <v>100</v>
      </c>
      <c r="K320" s="8">
        <v>200</v>
      </c>
      <c r="L320" s="4">
        <v>800</v>
      </c>
      <c r="M320" s="4">
        <f t="shared" si="157"/>
        <v>700</v>
      </c>
      <c r="N320" s="4">
        <v>3</v>
      </c>
      <c r="O320" s="4">
        <v>20</v>
      </c>
      <c r="P320" s="21">
        <f t="shared" si="167"/>
        <v>942.47779607693792</v>
      </c>
      <c r="Q320" s="29">
        <f t="shared" si="142"/>
        <v>1.7782599925979962E-2</v>
      </c>
      <c r="R320" s="21">
        <v>400</v>
      </c>
      <c r="S320" s="41">
        <f t="shared" si="153"/>
        <v>3.0188679245283021</v>
      </c>
      <c r="T320" s="41">
        <f t="shared" si="154"/>
        <v>2.641509433962264</v>
      </c>
      <c r="U320" s="4">
        <v>10</v>
      </c>
      <c r="V320" s="4">
        <v>47.9</v>
      </c>
      <c r="W320" s="4" t="s">
        <v>456</v>
      </c>
      <c r="X320" s="7">
        <f t="shared" si="130"/>
        <v>1</v>
      </c>
      <c r="Y320" s="4">
        <v>50</v>
      </c>
      <c r="Z320" s="8">
        <v>0.5</v>
      </c>
      <c r="AA320" s="4">
        <v>1</v>
      </c>
      <c r="AB320" s="68">
        <f t="shared" si="168"/>
        <v>50</v>
      </c>
      <c r="AC320" s="4">
        <v>1100</v>
      </c>
      <c r="AD320" s="7">
        <f t="shared" si="131"/>
        <v>0.25</v>
      </c>
      <c r="AE320" s="72">
        <f t="shared" si="166"/>
        <v>90850</v>
      </c>
      <c r="AF320" s="21">
        <v>181.7</v>
      </c>
      <c r="AG320" s="41">
        <f t="shared" si="158"/>
        <v>1.742452830188679</v>
      </c>
      <c r="AH320" s="45">
        <f t="shared" si="132"/>
        <v>0.25176379332436138</v>
      </c>
      <c r="AI320" s="45">
        <f t="shared" si="133"/>
        <v>0.47978779093937574</v>
      </c>
      <c r="AJ320" s="21">
        <f>AF320/2</f>
        <v>90.85</v>
      </c>
      <c r="AK320" s="21">
        <f t="shared" si="134"/>
        <v>1.5</v>
      </c>
      <c r="AL320" s="21">
        <f t="shared" si="165"/>
        <v>1.5</v>
      </c>
      <c r="AM320" s="21">
        <f t="shared" si="155"/>
        <v>92.35</v>
      </c>
      <c r="AN320" s="41">
        <f t="shared" si="135"/>
        <v>1.7424528301886792</v>
      </c>
      <c r="AO320" s="41">
        <f t="shared" si="136"/>
        <v>0.25176379332436144</v>
      </c>
      <c r="AP320" s="41">
        <f t="shared" si="137"/>
        <v>0.47978779093937579</v>
      </c>
      <c r="AQ320" s="21">
        <f t="shared" si="138"/>
        <v>0.69</v>
      </c>
      <c r="AR320" s="21">
        <f t="shared" si="139"/>
        <v>72.680000000000007</v>
      </c>
      <c r="AS320" s="21">
        <f t="shared" si="140"/>
        <v>73.37</v>
      </c>
      <c r="AT320" s="41">
        <f t="shared" si="141"/>
        <v>2.9980284193643949</v>
      </c>
      <c r="AU320" s="4"/>
    </row>
    <row r="321" spans="1:60" x14ac:dyDescent="0.25">
      <c r="A321">
        <v>2008</v>
      </c>
      <c r="B321" s="4" t="s">
        <v>334</v>
      </c>
      <c r="C321" s="8">
        <v>200</v>
      </c>
      <c r="D321" s="4">
        <v>300</v>
      </c>
      <c r="E321" s="8">
        <v>265</v>
      </c>
      <c r="F321" s="4">
        <v>2400</v>
      </c>
      <c r="G321" s="8">
        <v>2000</v>
      </c>
      <c r="H321" s="4">
        <v>100</v>
      </c>
      <c r="I321" s="8">
        <v>200</v>
      </c>
      <c r="J321" s="4">
        <v>100</v>
      </c>
      <c r="K321" s="8">
        <v>200</v>
      </c>
      <c r="L321" s="4">
        <v>800</v>
      </c>
      <c r="M321" s="4">
        <f t="shared" si="157"/>
        <v>700</v>
      </c>
      <c r="N321" s="4">
        <v>3</v>
      </c>
      <c r="O321" s="4">
        <v>20</v>
      </c>
      <c r="P321" s="21">
        <f t="shared" si="167"/>
        <v>942.47779607693792</v>
      </c>
      <c r="Q321" s="29">
        <f t="shared" si="142"/>
        <v>1.7782599925979962E-2</v>
      </c>
      <c r="R321" s="21">
        <v>400</v>
      </c>
      <c r="S321" s="41">
        <f t="shared" si="153"/>
        <v>3.0188679245283021</v>
      </c>
      <c r="T321" s="41">
        <f t="shared" si="154"/>
        <v>2.641509433962264</v>
      </c>
      <c r="U321" s="4">
        <v>10</v>
      </c>
      <c r="V321" s="4">
        <v>38</v>
      </c>
      <c r="W321" s="4" t="s">
        <v>456</v>
      </c>
      <c r="X321" s="7">
        <f t="shared" si="130"/>
        <v>1</v>
      </c>
      <c r="Y321" s="4">
        <v>50</v>
      </c>
      <c r="Z321" s="8">
        <v>0.75</v>
      </c>
      <c r="AA321" s="4">
        <v>1</v>
      </c>
      <c r="AB321" s="68">
        <f t="shared" si="168"/>
        <v>50</v>
      </c>
      <c r="AC321" s="4">
        <v>1100</v>
      </c>
      <c r="AD321" s="7">
        <f t="shared" si="131"/>
        <v>0.375</v>
      </c>
      <c r="AE321" s="72">
        <f t="shared" si="166"/>
        <v>105600</v>
      </c>
      <c r="AF321" s="21">
        <v>211.2</v>
      </c>
      <c r="AG321" s="41">
        <f t="shared" si="158"/>
        <v>2.020754716981132</v>
      </c>
      <c r="AH321" s="45">
        <f t="shared" si="132"/>
        <v>0.32780970194537107</v>
      </c>
      <c r="AI321" s="45">
        <f t="shared" si="133"/>
        <v>0.6010617189211247</v>
      </c>
      <c r="AJ321" s="21">
        <f t="shared" ref="AJ321:AJ330" si="170">AF321/2</f>
        <v>105.6</v>
      </c>
      <c r="AK321" s="21">
        <f t="shared" si="134"/>
        <v>1.5</v>
      </c>
      <c r="AL321" s="21">
        <f t="shared" si="165"/>
        <v>1.5</v>
      </c>
      <c r="AM321" s="21">
        <f t="shared" si="155"/>
        <v>107.1</v>
      </c>
      <c r="AN321" s="41">
        <f t="shared" si="135"/>
        <v>2.020754716981132</v>
      </c>
      <c r="AO321" s="41">
        <f t="shared" si="136"/>
        <v>0.32780970194537107</v>
      </c>
      <c r="AP321" s="41">
        <f t="shared" si="137"/>
        <v>0.6010617189211247</v>
      </c>
      <c r="AQ321" s="21">
        <f t="shared" si="138"/>
        <v>0.69</v>
      </c>
      <c r="AR321" s="21">
        <f t="shared" si="139"/>
        <v>84.48</v>
      </c>
      <c r="AS321" s="21">
        <f t="shared" si="140"/>
        <v>85.17</v>
      </c>
      <c r="AT321" s="41">
        <f t="shared" si="141"/>
        <v>3.0008984725965862</v>
      </c>
      <c r="AU321" s="4"/>
    </row>
    <row r="322" spans="1:60" x14ac:dyDescent="0.25">
      <c r="B322" s="4" t="s">
        <v>335</v>
      </c>
      <c r="C322" s="8">
        <v>200</v>
      </c>
      <c r="D322" s="4">
        <v>300</v>
      </c>
      <c r="E322" s="8">
        <v>265</v>
      </c>
      <c r="F322" s="4">
        <v>2400</v>
      </c>
      <c r="G322" s="8">
        <v>2000</v>
      </c>
      <c r="H322" s="4">
        <v>100</v>
      </c>
      <c r="I322" s="8">
        <v>200</v>
      </c>
      <c r="J322" s="4">
        <v>100</v>
      </c>
      <c r="K322" s="8">
        <v>200</v>
      </c>
      <c r="L322" s="4">
        <v>800</v>
      </c>
      <c r="M322" s="4">
        <f t="shared" si="157"/>
        <v>700</v>
      </c>
      <c r="N322" s="4">
        <v>3</v>
      </c>
      <c r="O322" s="4">
        <v>20</v>
      </c>
      <c r="P322" s="21">
        <f t="shared" si="167"/>
        <v>942.47779607693792</v>
      </c>
      <c r="Q322" s="29">
        <f t="shared" si="142"/>
        <v>1.7782599925979962E-2</v>
      </c>
      <c r="R322" s="21">
        <v>400</v>
      </c>
      <c r="S322" s="41">
        <f t="shared" si="153"/>
        <v>3.0188679245283021</v>
      </c>
      <c r="T322" s="41">
        <f t="shared" si="154"/>
        <v>2.641509433962264</v>
      </c>
      <c r="U322" s="4">
        <v>10</v>
      </c>
      <c r="V322" s="4">
        <v>42.2</v>
      </c>
      <c r="W322" s="4" t="s">
        <v>456</v>
      </c>
      <c r="X322" s="7">
        <f t="shared" si="130"/>
        <v>1</v>
      </c>
      <c r="Y322" s="4">
        <v>50</v>
      </c>
      <c r="Z322" s="8">
        <v>1</v>
      </c>
      <c r="AA322" s="4">
        <v>1</v>
      </c>
      <c r="AB322" s="68">
        <f t="shared" si="168"/>
        <v>50</v>
      </c>
      <c r="AC322" s="4">
        <v>1100</v>
      </c>
      <c r="AD322" s="7">
        <f t="shared" si="131"/>
        <v>0.5</v>
      </c>
      <c r="AE322" s="72">
        <f t="shared" si="166"/>
        <v>148900</v>
      </c>
      <c r="AF322" s="21">
        <v>297.8</v>
      </c>
      <c r="AG322" s="41">
        <f t="shared" si="158"/>
        <v>2.8377358490566036</v>
      </c>
      <c r="AH322" s="45">
        <f t="shared" si="132"/>
        <v>0.43683330377256935</v>
      </c>
      <c r="AI322" s="45">
        <f t="shared" si="133"/>
        <v>0.81508171329917034</v>
      </c>
      <c r="AJ322" s="21">
        <f t="shared" si="170"/>
        <v>148.9</v>
      </c>
      <c r="AK322" s="21">
        <f t="shared" si="134"/>
        <v>1.5</v>
      </c>
      <c r="AL322" s="21">
        <f t="shared" si="165"/>
        <v>1.5</v>
      </c>
      <c r="AM322" s="21">
        <f t="shared" si="155"/>
        <v>150.4</v>
      </c>
      <c r="AN322" s="41">
        <f t="shared" si="135"/>
        <v>2.8377358490566036</v>
      </c>
      <c r="AO322" s="41">
        <f t="shared" si="136"/>
        <v>0.43683330377256935</v>
      </c>
      <c r="AP322" s="41">
        <f t="shared" si="137"/>
        <v>0.81508171329917034</v>
      </c>
      <c r="AQ322" s="21">
        <f t="shared" si="138"/>
        <v>0.69</v>
      </c>
      <c r="AR322" s="21">
        <f t="shared" si="139"/>
        <v>119.12</v>
      </c>
      <c r="AS322" s="21">
        <f t="shared" si="140"/>
        <v>119.81</v>
      </c>
      <c r="AT322" s="41">
        <f t="shared" si="141"/>
        <v>3.0060718586912887</v>
      </c>
      <c r="AU322" s="4"/>
    </row>
    <row r="323" spans="1:60" x14ac:dyDescent="0.25">
      <c r="B323" s="4" t="s">
        <v>336</v>
      </c>
      <c r="C323" s="8">
        <v>200</v>
      </c>
      <c r="D323" s="4">
        <v>300</v>
      </c>
      <c r="E323" s="8">
        <v>265</v>
      </c>
      <c r="F323" s="4">
        <v>2400</v>
      </c>
      <c r="G323" s="8">
        <v>2000</v>
      </c>
      <c r="H323" s="4">
        <v>100</v>
      </c>
      <c r="I323" s="8">
        <v>200</v>
      </c>
      <c r="J323" s="4">
        <v>100</v>
      </c>
      <c r="K323" s="8">
        <v>200</v>
      </c>
      <c r="L323" s="4">
        <v>800</v>
      </c>
      <c r="M323" s="4">
        <f t="shared" si="157"/>
        <v>700</v>
      </c>
      <c r="N323" s="4">
        <v>3</v>
      </c>
      <c r="O323" s="4">
        <v>20</v>
      </c>
      <c r="P323" s="21">
        <f t="shared" si="167"/>
        <v>942.47779607693792</v>
      </c>
      <c r="Q323" s="29">
        <f t="shared" si="142"/>
        <v>1.7782599925979962E-2</v>
      </c>
      <c r="R323" s="21">
        <v>400</v>
      </c>
      <c r="S323" s="41">
        <f t="shared" si="153"/>
        <v>3.0188679245283021</v>
      </c>
      <c r="T323" s="41">
        <f t="shared" si="154"/>
        <v>2.641509433962264</v>
      </c>
      <c r="U323" s="4">
        <v>10</v>
      </c>
      <c r="V323" s="4">
        <v>45.4</v>
      </c>
      <c r="W323" t="s">
        <v>460</v>
      </c>
      <c r="X323" s="7">
        <v>0.5</v>
      </c>
      <c r="Y323" s="4">
        <v>50</v>
      </c>
      <c r="Z323" s="8">
        <v>0.5</v>
      </c>
      <c r="AA323" s="4">
        <v>1</v>
      </c>
      <c r="AB323" s="68">
        <f t="shared" si="168"/>
        <v>50</v>
      </c>
      <c r="AC323" s="4">
        <v>1100</v>
      </c>
      <c r="AD323" s="7">
        <f t="shared" si="131"/>
        <v>0.125</v>
      </c>
      <c r="AE323" s="72">
        <f t="shared" si="166"/>
        <v>115450</v>
      </c>
      <c r="AF323" s="21">
        <v>230.9</v>
      </c>
      <c r="AG323" s="41">
        <f t="shared" si="158"/>
        <v>2.2066037735849058</v>
      </c>
      <c r="AH323" s="45">
        <f t="shared" si="132"/>
        <v>0.32748878359913502</v>
      </c>
      <c r="AI323" s="45">
        <f t="shared" si="133"/>
        <v>0.61854657373872857</v>
      </c>
      <c r="AJ323" s="21">
        <f t="shared" si="170"/>
        <v>115.45</v>
      </c>
      <c r="AK323" s="21">
        <f t="shared" si="134"/>
        <v>1.5</v>
      </c>
      <c r="AL323" s="21">
        <f t="shared" si="165"/>
        <v>1.5</v>
      </c>
      <c r="AM323" s="21">
        <f t="shared" si="155"/>
        <v>116.95</v>
      </c>
      <c r="AN323" s="41">
        <f t="shared" si="135"/>
        <v>2.2066037735849058</v>
      </c>
      <c r="AO323" s="41">
        <f t="shared" si="136"/>
        <v>0.32748878359913502</v>
      </c>
      <c r="AP323" s="41">
        <f t="shared" si="137"/>
        <v>0.61854657373872857</v>
      </c>
      <c r="AQ323" s="21">
        <f t="shared" si="138"/>
        <v>0.69</v>
      </c>
      <c r="AR323" s="21">
        <f t="shared" si="139"/>
        <v>92.36</v>
      </c>
      <c r="AS323" s="21">
        <f t="shared" si="140"/>
        <v>93.05</v>
      </c>
      <c r="AT323" s="41">
        <f t="shared" si="141"/>
        <v>3.0024119322077647</v>
      </c>
      <c r="AU323" s="4"/>
    </row>
    <row r="324" spans="1:60" x14ac:dyDescent="0.25">
      <c r="B324" s="4" t="s">
        <v>337</v>
      </c>
      <c r="C324" s="8">
        <v>200</v>
      </c>
      <c r="D324" s="4">
        <v>300</v>
      </c>
      <c r="E324" s="8">
        <v>265</v>
      </c>
      <c r="F324" s="4">
        <v>2400</v>
      </c>
      <c r="G324" s="8">
        <v>2000</v>
      </c>
      <c r="H324" s="4">
        <v>100</v>
      </c>
      <c r="I324" s="8">
        <v>200</v>
      </c>
      <c r="J324" s="4">
        <v>100</v>
      </c>
      <c r="K324" s="8">
        <v>200</v>
      </c>
      <c r="L324" s="4">
        <v>800</v>
      </c>
      <c r="M324" s="4">
        <f t="shared" si="157"/>
        <v>700</v>
      </c>
      <c r="N324" s="4">
        <v>3</v>
      </c>
      <c r="O324" s="4">
        <v>20</v>
      </c>
      <c r="P324" s="21">
        <f t="shared" si="167"/>
        <v>942.47779607693792</v>
      </c>
      <c r="Q324" s="29">
        <f t="shared" si="142"/>
        <v>1.7782599925979962E-2</v>
      </c>
      <c r="R324" s="21">
        <v>400</v>
      </c>
      <c r="S324" s="41">
        <f t="shared" si="153"/>
        <v>3.0188679245283021</v>
      </c>
      <c r="T324" s="41">
        <f t="shared" si="154"/>
        <v>2.641509433962264</v>
      </c>
      <c r="U324" s="4">
        <v>10</v>
      </c>
      <c r="V324" s="4">
        <v>44.4</v>
      </c>
      <c r="W324" t="s">
        <v>460</v>
      </c>
      <c r="X324" s="7">
        <v>0.5</v>
      </c>
      <c r="Y324" s="4">
        <v>50</v>
      </c>
      <c r="Z324" s="8">
        <v>0.75</v>
      </c>
      <c r="AA324" s="4">
        <v>1</v>
      </c>
      <c r="AB324" s="68">
        <f t="shared" si="168"/>
        <v>50</v>
      </c>
      <c r="AC324" s="4">
        <v>1100</v>
      </c>
      <c r="AD324" s="7">
        <f t="shared" si="131"/>
        <v>0.1875</v>
      </c>
      <c r="AE324" s="72">
        <f t="shared" si="166"/>
        <v>144100</v>
      </c>
      <c r="AF324" s="21">
        <v>288.2</v>
      </c>
      <c r="AG324" s="41">
        <f t="shared" si="158"/>
        <v>2.7471698113207546</v>
      </c>
      <c r="AH324" s="45">
        <f t="shared" si="132"/>
        <v>0.41228166409115052</v>
      </c>
      <c r="AI324" s="45">
        <f t="shared" si="133"/>
        <v>0.7758144220290053</v>
      </c>
      <c r="AJ324" s="21">
        <f t="shared" si="170"/>
        <v>144.1</v>
      </c>
      <c r="AK324" s="21">
        <f t="shared" si="134"/>
        <v>1.5</v>
      </c>
      <c r="AL324" s="21">
        <f t="shared" si="165"/>
        <v>1.5</v>
      </c>
      <c r="AM324" s="21">
        <f t="shared" si="155"/>
        <v>145.6</v>
      </c>
      <c r="AN324" s="41">
        <f t="shared" si="135"/>
        <v>2.7471698113207546</v>
      </c>
      <c r="AO324" s="41">
        <f t="shared" si="136"/>
        <v>0.41228166409115052</v>
      </c>
      <c r="AP324" s="41">
        <f t="shared" si="137"/>
        <v>0.7758144220290053</v>
      </c>
      <c r="AQ324" s="21">
        <f t="shared" si="138"/>
        <v>0.69</v>
      </c>
      <c r="AR324" s="21">
        <f t="shared" si="139"/>
        <v>115.28</v>
      </c>
      <c r="AS324" s="21">
        <f t="shared" si="140"/>
        <v>115.97</v>
      </c>
      <c r="AT324" s="41">
        <f t="shared" si="141"/>
        <v>3.0056500103669914</v>
      </c>
      <c r="AU324" s="4"/>
    </row>
    <row r="325" spans="1:60" x14ac:dyDescent="0.25">
      <c r="B325" s="4" t="s">
        <v>338</v>
      </c>
      <c r="C325" s="8">
        <v>200</v>
      </c>
      <c r="D325" s="4">
        <v>300</v>
      </c>
      <c r="E325" s="8">
        <v>265</v>
      </c>
      <c r="F325" s="4">
        <v>2400</v>
      </c>
      <c r="G325" s="8">
        <v>2000</v>
      </c>
      <c r="H325" s="4">
        <v>100</v>
      </c>
      <c r="I325" s="8">
        <v>200</v>
      </c>
      <c r="J325" s="4">
        <v>100</v>
      </c>
      <c r="K325" s="8">
        <v>200</v>
      </c>
      <c r="L325" s="4">
        <v>800</v>
      </c>
      <c r="M325" s="4">
        <f t="shared" si="157"/>
        <v>700</v>
      </c>
      <c r="N325" s="4">
        <v>3</v>
      </c>
      <c r="O325" s="4">
        <v>20</v>
      </c>
      <c r="P325" s="21">
        <f t="shared" si="167"/>
        <v>942.47779607693792</v>
      </c>
      <c r="Q325" s="29">
        <f t="shared" si="142"/>
        <v>1.7782599925979962E-2</v>
      </c>
      <c r="R325" s="21">
        <v>400</v>
      </c>
      <c r="S325" s="41">
        <f t="shared" si="153"/>
        <v>3.0188679245283021</v>
      </c>
      <c r="T325" s="41">
        <f t="shared" si="154"/>
        <v>2.641509433962264</v>
      </c>
      <c r="U325" s="4">
        <v>10</v>
      </c>
      <c r="V325" s="4">
        <v>40.299999999999997</v>
      </c>
      <c r="W325" t="s">
        <v>460</v>
      </c>
      <c r="X325" s="7">
        <v>0.5</v>
      </c>
      <c r="Y325" s="4">
        <v>50</v>
      </c>
      <c r="Z325" s="8">
        <v>1</v>
      </c>
      <c r="AA325" s="4">
        <v>1</v>
      </c>
      <c r="AB325" s="68">
        <f t="shared" si="168"/>
        <v>50</v>
      </c>
      <c r="AC325" s="4">
        <v>1100</v>
      </c>
      <c r="AD325" s="7">
        <f t="shared" ref="AD325:AD388" si="171">AB325*Z325/100*X325</f>
        <v>0.25</v>
      </c>
      <c r="AE325" s="72">
        <f t="shared" si="166"/>
        <v>146750</v>
      </c>
      <c r="AF325" s="21">
        <v>293.5</v>
      </c>
      <c r="AG325" s="41">
        <f t="shared" si="158"/>
        <v>2.7971698113207548</v>
      </c>
      <c r="AH325" s="45">
        <f t="shared" ref="AH325:AH388" si="172">AG325/SQRT(V325)</f>
        <v>0.44062213386046167</v>
      </c>
      <c r="AI325" s="45">
        <f t="shared" ref="AI325:AI388" si="173">AG325/(V325^(1/3))</f>
        <v>0.8158628354229297</v>
      </c>
      <c r="AJ325" s="21">
        <f t="shared" si="170"/>
        <v>146.75</v>
      </c>
      <c r="AK325" s="21">
        <f t="shared" ref="AK325:AK388" si="174">25*C325/1000*D325/1000</f>
        <v>1.5</v>
      </c>
      <c r="AL325" s="21">
        <f t="shared" si="165"/>
        <v>1.5</v>
      </c>
      <c r="AM325" s="21">
        <f t="shared" si="155"/>
        <v>148.25</v>
      </c>
      <c r="AN325" s="41">
        <f t="shared" ref="AN325:AN388" si="175">AM325*1000/(C325*E325)</f>
        <v>2.7971698113207548</v>
      </c>
      <c r="AO325" s="41">
        <f t="shared" ref="AO325:AO388" si="176">AN325/SQRT(V325)</f>
        <v>0.44062213386046167</v>
      </c>
      <c r="AP325" s="41">
        <f t="shared" ref="AP325:AP388" si="177">AN325/(V325^(1/3))</f>
        <v>0.8158628354229297</v>
      </c>
      <c r="AQ325" s="21">
        <f t="shared" ref="AQ325:AQ388" si="178">-AK325/2*((F325-G325)/2000+L325/1000)^2+1/2*AK325*F325/1000*L325/1000</f>
        <v>0.69</v>
      </c>
      <c r="AR325" s="21">
        <f t="shared" ref="AR325:AR388" si="179">AJ325*L325/1000</f>
        <v>117.4</v>
      </c>
      <c r="AS325" s="21">
        <f t="shared" ref="AS325:AS388" si="180">AQ325+AR325</f>
        <v>118.09</v>
      </c>
      <c r="AT325" s="41">
        <f t="shared" ref="AT325:AT388" si="181">AS325/(AM325*E325/1000)</f>
        <v>3.0058862833688629</v>
      </c>
      <c r="AU325" s="4"/>
    </row>
    <row r="326" spans="1:60" x14ac:dyDescent="0.25">
      <c r="B326" s="4" t="s">
        <v>339</v>
      </c>
      <c r="C326" s="8">
        <v>200</v>
      </c>
      <c r="D326" s="4">
        <v>300</v>
      </c>
      <c r="E326" s="8">
        <v>265</v>
      </c>
      <c r="F326" s="4">
        <v>2400</v>
      </c>
      <c r="G326" s="8">
        <v>2000</v>
      </c>
      <c r="H326" s="4">
        <v>100</v>
      </c>
      <c r="I326" s="8">
        <v>200</v>
      </c>
      <c r="J326" s="4">
        <v>100</v>
      </c>
      <c r="K326" s="8">
        <v>200</v>
      </c>
      <c r="L326" s="4">
        <v>800</v>
      </c>
      <c r="M326" s="4">
        <f t="shared" si="157"/>
        <v>700</v>
      </c>
      <c r="N326" s="4">
        <v>3</v>
      </c>
      <c r="O326" s="4">
        <v>20</v>
      </c>
      <c r="P326" s="21">
        <f t="shared" si="167"/>
        <v>942.47779607693792</v>
      </c>
      <c r="Q326" s="29">
        <f t="shared" ref="Q326:Q389" si="182">P326/(C326*E326)</f>
        <v>1.7782599925979962E-2</v>
      </c>
      <c r="R326" s="21">
        <v>400</v>
      </c>
      <c r="S326" s="41">
        <f t="shared" si="153"/>
        <v>3.0188679245283021</v>
      </c>
      <c r="T326" s="41">
        <f t="shared" si="154"/>
        <v>2.641509433962264</v>
      </c>
      <c r="U326" s="4">
        <v>10</v>
      </c>
      <c r="V326" s="4">
        <v>53.7</v>
      </c>
      <c r="W326" t="s">
        <v>460</v>
      </c>
      <c r="X326" s="7">
        <v>0.5</v>
      </c>
      <c r="Y326" s="4">
        <v>30</v>
      </c>
      <c r="Z326" s="8">
        <v>0.5</v>
      </c>
      <c r="AA326" s="4">
        <v>0.7</v>
      </c>
      <c r="AB326" s="68">
        <f t="shared" si="168"/>
        <v>42.857142857142861</v>
      </c>
      <c r="AC326" s="4">
        <v>1100</v>
      </c>
      <c r="AD326" s="7">
        <f t="shared" si="171"/>
        <v>0.10714285714285715</v>
      </c>
      <c r="AE326" s="72">
        <f t="shared" si="166"/>
        <v>106700</v>
      </c>
      <c r="AF326" s="21">
        <v>213.4</v>
      </c>
      <c r="AG326" s="41">
        <f t="shared" si="158"/>
        <v>2.0415094339622639</v>
      </c>
      <c r="AH326" s="45">
        <f t="shared" si="172"/>
        <v>0.27858918209939609</v>
      </c>
      <c r="AI326" s="45">
        <f t="shared" si="173"/>
        <v>0.54111963869099999</v>
      </c>
      <c r="AJ326" s="21">
        <f t="shared" si="170"/>
        <v>106.7</v>
      </c>
      <c r="AK326" s="21">
        <f t="shared" si="174"/>
        <v>1.5</v>
      </c>
      <c r="AL326" s="21">
        <f t="shared" si="165"/>
        <v>1.5</v>
      </c>
      <c r="AM326" s="21">
        <f t="shared" si="155"/>
        <v>108.2</v>
      </c>
      <c r="AN326" s="41">
        <f t="shared" si="175"/>
        <v>2.0415094339622644</v>
      </c>
      <c r="AO326" s="41">
        <f t="shared" si="176"/>
        <v>0.27858918209939615</v>
      </c>
      <c r="AP326" s="41">
        <f t="shared" si="177"/>
        <v>0.5411196386910001</v>
      </c>
      <c r="AQ326" s="21">
        <f t="shared" si="178"/>
        <v>0.69</v>
      </c>
      <c r="AR326" s="21">
        <f t="shared" si="179"/>
        <v>85.36</v>
      </c>
      <c r="AS326" s="21">
        <f t="shared" si="180"/>
        <v>86.05</v>
      </c>
      <c r="AT326" s="41">
        <f t="shared" si="181"/>
        <v>3.001081156488683</v>
      </c>
      <c r="AU326" s="4"/>
    </row>
    <row r="327" spans="1:60" x14ac:dyDescent="0.25">
      <c r="B327" s="4" t="s">
        <v>340</v>
      </c>
      <c r="C327" s="8">
        <v>200</v>
      </c>
      <c r="D327" s="4">
        <v>300</v>
      </c>
      <c r="E327" s="8">
        <v>265</v>
      </c>
      <c r="F327" s="4">
        <v>2400</v>
      </c>
      <c r="G327" s="8">
        <v>2000</v>
      </c>
      <c r="H327" s="4">
        <v>100</v>
      </c>
      <c r="I327" s="8">
        <v>200</v>
      </c>
      <c r="J327" s="4">
        <v>100</v>
      </c>
      <c r="K327" s="8">
        <v>200</v>
      </c>
      <c r="L327" s="4">
        <v>800</v>
      </c>
      <c r="M327" s="4">
        <f t="shared" si="157"/>
        <v>700</v>
      </c>
      <c r="N327" s="4">
        <v>3</v>
      </c>
      <c r="O327" s="4">
        <v>20</v>
      </c>
      <c r="P327" s="21">
        <f t="shared" si="167"/>
        <v>942.47779607693792</v>
      </c>
      <c r="Q327" s="29">
        <f t="shared" si="182"/>
        <v>1.7782599925979962E-2</v>
      </c>
      <c r="R327" s="21">
        <v>400</v>
      </c>
      <c r="S327" s="41">
        <f t="shared" si="153"/>
        <v>3.0188679245283021</v>
      </c>
      <c r="T327" s="41">
        <f t="shared" si="154"/>
        <v>2.641509433962264</v>
      </c>
      <c r="U327" s="4">
        <v>10</v>
      </c>
      <c r="V327" s="4">
        <v>46</v>
      </c>
      <c r="W327" t="s">
        <v>460</v>
      </c>
      <c r="X327" s="7">
        <v>0.5</v>
      </c>
      <c r="Y327" s="4">
        <v>30</v>
      </c>
      <c r="Z327" s="8">
        <v>0.75</v>
      </c>
      <c r="AA327" s="4">
        <v>0.7</v>
      </c>
      <c r="AB327" s="68">
        <f t="shared" si="168"/>
        <v>42.857142857142861</v>
      </c>
      <c r="AC327" s="4">
        <v>1100</v>
      </c>
      <c r="AD327" s="7">
        <f t="shared" si="171"/>
        <v>0.16071428571428573</v>
      </c>
      <c r="AE327" s="72">
        <f t="shared" si="166"/>
        <v>122900</v>
      </c>
      <c r="AF327" s="21">
        <v>245.8</v>
      </c>
      <c r="AG327" s="41">
        <f t="shared" si="158"/>
        <v>2.3471698113207551</v>
      </c>
      <c r="AH327" s="45">
        <f t="shared" si="172"/>
        <v>0.34607130840885297</v>
      </c>
      <c r="AI327" s="45">
        <f t="shared" si="173"/>
        <v>0.65507631932788912</v>
      </c>
      <c r="AJ327" s="21">
        <f t="shared" si="170"/>
        <v>122.9</v>
      </c>
      <c r="AK327" s="21">
        <f t="shared" si="174"/>
        <v>1.5</v>
      </c>
      <c r="AL327" s="21">
        <f t="shared" si="165"/>
        <v>1.5</v>
      </c>
      <c r="AM327" s="21">
        <f t="shared" si="155"/>
        <v>124.4</v>
      </c>
      <c r="AN327" s="41">
        <f t="shared" si="175"/>
        <v>2.3471698113207546</v>
      </c>
      <c r="AO327" s="41">
        <f t="shared" si="176"/>
        <v>0.34607130840885286</v>
      </c>
      <c r="AP327" s="41">
        <f t="shared" si="177"/>
        <v>0.65507631932788901</v>
      </c>
      <c r="AQ327" s="21">
        <f t="shared" si="178"/>
        <v>0.69</v>
      </c>
      <c r="AR327" s="21">
        <f t="shared" si="179"/>
        <v>98.32</v>
      </c>
      <c r="AS327" s="21">
        <f t="shared" si="180"/>
        <v>99.009999999999991</v>
      </c>
      <c r="AT327" s="41">
        <f t="shared" si="181"/>
        <v>3.0033974397864465</v>
      </c>
      <c r="AU327" s="4"/>
    </row>
    <row r="328" spans="1:60" x14ac:dyDescent="0.25">
      <c r="A328" s="1"/>
      <c r="B328" s="10" t="s">
        <v>341</v>
      </c>
      <c r="C328" s="9">
        <v>200</v>
      </c>
      <c r="D328" s="10">
        <v>300</v>
      </c>
      <c r="E328" s="9">
        <v>265</v>
      </c>
      <c r="F328" s="10">
        <v>2400</v>
      </c>
      <c r="G328" s="9">
        <v>2000</v>
      </c>
      <c r="H328" s="10">
        <v>100</v>
      </c>
      <c r="I328" s="9">
        <v>200</v>
      </c>
      <c r="J328" s="10">
        <v>100</v>
      </c>
      <c r="K328" s="9">
        <v>200</v>
      </c>
      <c r="L328" s="10">
        <v>800</v>
      </c>
      <c r="M328" s="10">
        <f t="shared" si="157"/>
        <v>700</v>
      </c>
      <c r="N328" s="10">
        <v>3</v>
      </c>
      <c r="O328" s="10">
        <v>20</v>
      </c>
      <c r="P328" s="27">
        <f t="shared" si="167"/>
        <v>942.47779607693792</v>
      </c>
      <c r="Q328" s="36">
        <f t="shared" si="182"/>
        <v>1.7782599925979962E-2</v>
      </c>
      <c r="R328" s="27">
        <v>400</v>
      </c>
      <c r="S328" s="48">
        <f t="shared" si="153"/>
        <v>3.0188679245283021</v>
      </c>
      <c r="T328" s="48">
        <f t="shared" si="154"/>
        <v>2.641509433962264</v>
      </c>
      <c r="U328" s="10">
        <v>10</v>
      </c>
      <c r="V328" s="10">
        <v>42.2</v>
      </c>
      <c r="W328" s="1" t="s">
        <v>460</v>
      </c>
      <c r="X328" s="7">
        <v>0.5</v>
      </c>
      <c r="Y328" s="10">
        <v>30</v>
      </c>
      <c r="Z328" s="9">
        <v>1</v>
      </c>
      <c r="AA328" s="10">
        <v>0.7</v>
      </c>
      <c r="AB328" s="69">
        <f t="shared" si="168"/>
        <v>42.857142857142861</v>
      </c>
      <c r="AC328" s="10">
        <v>1100</v>
      </c>
      <c r="AD328" s="7">
        <f t="shared" si="171"/>
        <v>0.2142857142857143</v>
      </c>
      <c r="AE328" s="27">
        <f t="shared" si="166"/>
        <v>151350</v>
      </c>
      <c r="AF328" s="27">
        <v>302.7</v>
      </c>
      <c r="AG328" s="48">
        <f t="shared" si="158"/>
        <v>2.8839622641509433</v>
      </c>
      <c r="AH328" s="45">
        <f t="shared" si="172"/>
        <v>0.44394927181939647</v>
      </c>
      <c r="AI328" s="45">
        <f t="shared" si="173"/>
        <v>0.82835930769799326</v>
      </c>
      <c r="AJ328" s="27">
        <f t="shared" si="170"/>
        <v>151.35</v>
      </c>
      <c r="AK328" s="21">
        <f t="shared" si="174"/>
        <v>1.5</v>
      </c>
      <c r="AL328" s="27">
        <f t="shared" si="165"/>
        <v>1.5</v>
      </c>
      <c r="AM328" s="27">
        <f t="shared" si="155"/>
        <v>152.85</v>
      </c>
      <c r="AN328" s="41">
        <f t="shared" si="175"/>
        <v>2.8839622641509433</v>
      </c>
      <c r="AO328" s="41">
        <f t="shared" si="176"/>
        <v>0.44394927181939647</v>
      </c>
      <c r="AP328" s="41">
        <f t="shared" si="177"/>
        <v>0.82835930769799326</v>
      </c>
      <c r="AQ328" s="21">
        <f t="shared" si="178"/>
        <v>0.69</v>
      </c>
      <c r="AR328" s="21">
        <f t="shared" si="179"/>
        <v>121.08</v>
      </c>
      <c r="AS328" s="21">
        <f t="shared" si="180"/>
        <v>121.77</v>
      </c>
      <c r="AT328" s="41">
        <f t="shared" si="181"/>
        <v>3.0062769640972467</v>
      </c>
      <c r="AU328" s="10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</row>
    <row r="329" spans="1:60" x14ac:dyDescent="0.25">
      <c r="A329" t="s">
        <v>37</v>
      </c>
      <c r="B329" s="4" t="s">
        <v>342</v>
      </c>
      <c r="C329" s="8">
        <v>200</v>
      </c>
      <c r="D329" s="4">
        <v>355</v>
      </c>
      <c r="E329" s="8">
        <v>310</v>
      </c>
      <c r="F329" s="4">
        <v>4270</v>
      </c>
      <c r="G329" s="8">
        <v>3560</v>
      </c>
      <c r="H329" s="4">
        <v>200</v>
      </c>
      <c r="I329" s="8">
        <v>200</v>
      </c>
      <c r="J329" s="4">
        <v>150</v>
      </c>
      <c r="K329" s="8">
        <v>200</v>
      </c>
      <c r="L329" s="4">
        <v>790</v>
      </c>
      <c r="M329" s="4">
        <f t="shared" si="157"/>
        <v>615</v>
      </c>
      <c r="N329" s="4">
        <v>2</v>
      </c>
      <c r="O329" s="4">
        <v>19</v>
      </c>
      <c r="P329" s="21">
        <f>N329*PI()*(O329/2)^2+PI()*(13/2)^2</f>
        <v>699.78976358712634</v>
      </c>
      <c r="Q329" s="29">
        <f t="shared" si="182"/>
        <v>1.1286931670760102E-2</v>
      </c>
      <c r="R329" s="21">
        <v>449</v>
      </c>
      <c r="S329" s="41">
        <f t="shared" si="153"/>
        <v>2.5483870967741935</v>
      </c>
      <c r="T329" s="41">
        <f t="shared" si="154"/>
        <v>1.9838709677419355</v>
      </c>
      <c r="U329" s="4">
        <v>9.5</v>
      </c>
      <c r="V329" s="4">
        <v>39.799999999999997</v>
      </c>
      <c r="W329" s="4" t="s">
        <v>456</v>
      </c>
      <c r="X329" s="7">
        <f t="shared" ref="X329:X392" si="183">IF(W329="hooked",1,IF(W329="crimped",0.75,IF(W329="straight",0.5,"check")))</f>
        <v>1</v>
      </c>
      <c r="Y329" s="4">
        <v>60</v>
      </c>
      <c r="Z329" s="8">
        <v>0.375</v>
      </c>
      <c r="AA329" s="4">
        <v>0.75</v>
      </c>
      <c r="AB329" s="21">
        <f t="shared" si="168"/>
        <v>80</v>
      </c>
      <c r="AC329" s="4">
        <v>1100</v>
      </c>
      <c r="AD329" s="7">
        <f t="shared" si="171"/>
        <v>0.3</v>
      </c>
      <c r="AE329" s="21">
        <f t="shared" si="166"/>
        <v>130650</v>
      </c>
      <c r="AF329" s="68">
        <v>261.3</v>
      </c>
      <c r="AG329" s="41">
        <f t="shared" si="158"/>
        <v>2.1582177419354842</v>
      </c>
      <c r="AH329" s="45">
        <f t="shared" si="172"/>
        <v>0.34210051057666019</v>
      </c>
      <c r="AI329" s="45">
        <f t="shared" si="173"/>
        <v>0.63212199347853393</v>
      </c>
      <c r="AJ329" s="21">
        <f t="shared" si="170"/>
        <v>130.65</v>
      </c>
      <c r="AK329" s="21">
        <f t="shared" si="174"/>
        <v>1.7749999999999999</v>
      </c>
      <c r="AL329" s="21">
        <f t="shared" si="165"/>
        <v>3.1595000000000004</v>
      </c>
      <c r="AM329" s="21">
        <f t="shared" si="155"/>
        <v>133.80950000000001</v>
      </c>
      <c r="AN329" s="41">
        <f t="shared" si="175"/>
        <v>2.1582177419354838</v>
      </c>
      <c r="AO329" s="41">
        <f t="shared" si="176"/>
        <v>0.34210051057666013</v>
      </c>
      <c r="AP329" s="41">
        <f t="shared" si="177"/>
        <v>0.63212199347853382</v>
      </c>
      <c r="AQ329" s="21">
        <f t="shared" si="178"/>
        <v>1.8302690625</v>
      </c>
      <c r="AR329" s="21">
        <f t="shared" si="179"/>
        <v>103.2135</v>
      </c>
      <c r="AS329" s="21">
        <f t="shared" si="180"/>
        <v>105.04376906249999</v>
      </c>
      <c r="AT329" s="41">
        <f t="shared" si="181"/>
        <v>2.5323378978588837</v>
      </c>
      <c r="AU329" s="4"/>
    </row>
    <row r="330" spans="1:60" x14ac:dyDescent="0.25">
      <c r="A330" s="1">
        <v>2012</v>
      </c>
      <c r="B330" s="10" t="s">
        <v>343</v>
      </c>
      <c r="C330" s="9">
        <v>200</v>
      </c>
      <c r="D330" s="10">
        <v>355</v>
      </c>
      <c r="E330" s="9">
        <v>285</v>
      </c>
      <c r="F330" s="10">
        <v>4270</v>
      </c>
      <c r="G330" s="9">
        <v>3560</v>
      </c>
      <c r="H330" s="10">
        <v>200</v>
      </c>
      <c r="I330" s="9">
        <v>200</v>
      </c>
      <c r="J330" s="10">
        <v>150</v>
      </c>
      <c r="K330" s="9">
        <v>200</v>
      </c>
      <c r="L330" s="10">
        <v>790</v>
      </c>
      <c r="M330" s="10">
        <f t="shared" si="157"/>
        <v>615</v>
      </c>
      <c r="N330" s="10">
        <v>5</v>
      </c>
      <c r="O330" s="10">
        <v>22</v>
      </c>
      <c r="P330" s="27">
        <f t="shared" si="167"/>
        <v>1900.6635554218249</v>
      </c>
      <c r="Q330" s="36">
        <f t="shared" si="182"/>
        <v>3.3344974656523245E-2</v>
      </c>
      <c r="R330" s="27">
        <v>503</v>
      </c>
      <c r="S330" s="48">
        <f t="shared" si="153"/>
        <v>2.7719298245614037</v>
      </c>
      <c r="T330" s="48">
        <f t="shared" si="154"/>
        <v>2.1578947368421053</v>
      </c>
      <c r="U330" s="10">
        <v>9.5</v>
      </c>
      <c r="V330" s="10">
        <v>39.799999999999997</v>
      </c>
      <c r="W330" s="10" t="s">
        <v>456</v>
      </c>
      <c r="X330" s="7">
        <f t="shared" si="183"/>
        <v>1</v>
      </c>
      <c r="Y330" s="10">
        <v>60</v>
      </c>
      <c r="Z330" s="9">
        <v>0.375</v>
      </c>
      <c r="AA330" s="10">
        <v>0.75</v>
      </c>
      <c r="AB330" s="27">
        <f t="shared" si="168"/>
        <v>80</v>
      </c>
      <c r="AC330" s="10">
        <v>1100</v>
      </c>
      <c r="AD330" s="7">
        <f t="shared" si="171"/>
        <v>0.3</v>
      </c>
      <c r="AE330" s="27">
        <f t="shared" si="166"/>
        <v>219750</v>
      </c>
      <c r="AF330" s="69">
        <v>439.5</v>
      </c>
      <c r="AG330" s="48">
        <f t="shared" si="158"/>
        <v>3.9106929824561401</v>
      </c>
      <c r="AH330" s="45">
        <f t="shared" si="172"/>
        <v>0.61988651099078951</v>
      </c>
      <c r="AI330" s="45">
        <f t="shared" si="173"/>
        <v>1.145405765099389</v>
      </c>
      <c r="AJ330" s="27">
        <f t="shared" si="170"/>
        <v>219.75</v>
      </c>
      <c r="AK330" s="21">
        <f t="shared" si="174"/>
        <v>1.7749999999999999</v>
      </c>
      <c r="AL330" s="27">
        <f t="shared" si="165"/>
        <v>3.1595000000000004</v>
      </c>
      <c r="AM330" s="27">
        <f t="shared" si="155"/>
        <v>222.90950000000001</v>
      </c>
      <c r="AN330" s="41">
        <f t="shared" si="175"/>
        <v>3.9106929824561405</v>
      </c>
      <c r="AO330" s="41">
        <f t="shared" si="176"/>
        <v>0.61988651099078962</v>
      </c>
      <c r="AP330" s="41">
        <f t="shared" si="177"/>
        <v>1.145405765099389</v>
      </c>
      <c r="AQ330" s="21">
        <f t="shared" si="178"/>
        <v>1.8302690625</v>
      </c>
      <c r="AR330" s="21">
        <f t="shared" si="179"/>
        <v>173.60249999999999</v>
      </c>
      <c r="AS330" s="21">
        <f t="shared" si="180"/>
        <v>175.4327690625</v>
      </c>
      <c r="AT330" s="41">
        <f t="shared" si="181"/>
        <v>2.7614506140738491</v>
      </c>
      <c r="AU330" s="10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</row>
    <row r="331" spans="1:60" x14ac:dyDescent="0.25">
      <c r="A331" t="s">
        <v>38</v>
      </c>
      <c r="B331">
        <v>2</v>
      </c>
      <c r="C331" s="8">
        <v>200</v>
      </c>
      <c r="D331" s="4">
        <v>300</v>
      </c>
      <c r="E331" s="8">
        <v>260</v>
      </c>
      <c r="F331">
        <f>G331+300</f>
        <v>2100</v>
      </c>
      <c r="G331" s="8">
        <v>1800</v>
      </c>
      <c r="H331" s="4">
        <v>100</v>
      </c>
      <c r="I331">
        <f>C331</f>
        <v>200</v>
      </c>
      <c r="J331" s="4">
        <v>100</v>
      </c>
      <c r="K331">
        <f>C331</f>
        <v>200</v>
      </c>
      <c r="L331" s="4">
        <v>900</v>
      </c>
      <c r="M331" s="4">
        <f t="shared" si="157"/>
        <v>800</v>
      </c>
      <c r="N331" s="4">
        <v>3</v>
      </c>
      <c r="O331" s="4">
        <v>28</v>
      </c>
      <c r="P331" s="21">
        <f t="shared" si="167"/>
        <v>1847.2564803107985</v>
      </c>
      <c r="Q331" s="29">
        <f t="shared" si="182"/>
        <v>3.5524163082899969E-2</v>
      </c>
      <c r="R331" s="21">
        <v>560</v>
      </c>
      <c r="S331" s="41">
        <f t="shared" si="153"/>
        <v>3.4615384615384617</v>
      </c>
      <c r="T331" s="41">
        <f t="shared" si="154"/>
        <v>3.0769230769230771</v>
      </c>
      <c r="U331" s="4">
        <v>14</v>
      </c>
      <c r="V331" s="4">
        <v>46.4</v>
      </c>
      <c r="W331" s="4" t="s">
        <v>456</v>
      </c>
      <c r="X331" s="7">
        <f t="shared" si="183"/>
        <v>1</v>
      </c>
      <c r="Y331" s="4">
        <v>60</v>
      </c>
      <c r="Z331" s="8">
        <v>0.25</v>
      </c>
      <c r="AA331" s="41">
        <f>Y331/AB331</f>
        <v>0.92307692307692313</v>
      </c>
      <c r="AB331" s="21">
        <v>65</v>
      </c>
      <c r="AC331" s="4">
        <v>1100</v>
      </c>
      <c r="AD331" s="7">
        <f t="shared" si="171"/>
        <v>0.16250000000000001</v>
      </c>
      <c r="AE331" s="21">
        <f t="shared" si="166"/>
        <v>110000</v>
      </c>
      <c r="AF331" s="21">
        <f>2*AJ331</f>
        <v>220</v>
      </c>
      <c r="AG331" s="41">
        <f t="shared" si="158"/>
        <v>2.141346153846154</v>
      </c>
      <c r="AH331" s="45">
        <f t="shared" si="172"/>
        <v>0.31436043962962618</v>
      </c>
      <c r="AI331" s="45">
        <f t="shared" si="173"/>
        <v>0.59591028925999112</v>
      </c>
      <c r="AJ331" s="21">
        <v>110</v>
      </c>
      <c r="AK331" s="21">
        <f t="shared" si="174"/>
        <v>1.5</v>
      </c>
      <c r="AL331" s="21">
        <f t="shared" si="165"/>
        <v>1.3499999999999999</v>
      </c>
      <c r="AM331" s="21">
        <f t="shared" si="155"/>
        <v>111.35</v>
      </c>
      <c r="AN331" s="41">
        <f t="shared" si="175"/>
        <v>2.141346153846154</v>
      </c>
      <c r="AO331" s="41">
        <f t="shared" si="176"/>
        <v>0.31436043962962618</v>
      </c>
      <c r="AP331" s="41">
        <f t="shared" si="177"/>
        <v>0.59591028925999112</v>
      </c>
      <c r="AQ331" s="21">
        <f t="shared" si="178"/>
        <v>0.59062499999999996</v>
      </c>
      <c r="AR331" s="21">
        <f t="shared" si="179"/>
        <v>99</v>
      </c>
      <c r="AS331" s="21">
        <f t="shared" si="180"/>
        <v>99.590625000000003</v>
      </c>
      <c r="AT331" s="41">
        <f t="shared" si="181"/>
        <v>3.4399718489862181</v>
      </c>
      <c r="AU331" s="4"/>
    </row>
    <row r="332" spans="1:60" x14ac:dyDescent="0.25">
      <c r="A332">
        <v>2004</v>
      </c>
      <c r="B332">
        <v>3</v>
      </c>
      <c r="C332" s="8">
        <v>200</v>
      </c>
      <c r="D332" s="4">
        <v>300</v>
      </c>
      <c r="E332" s="8">
        <v>260</v>
      </c>
      <c r="F332">
        <f t="shared" ref="F332:F350" si="184">G332+300</f>
        <v>2100</v>
      </c>
      <c r="G332" s="8">
        <v>1800</v>
      </c>
      <c r="H332" s="4">
        <v>100</v>
      </c>
      <c r="I332">
        <f t="shared" ref="I332:I395" si="185">C332</f>
        <v>200</v>
      </c>
      <c r="J332" s="4">
        <v>100</v>
      </c>
      <c r="K332">
        <f t="shared" ref="K332:K395" si="186">C332</f>
        <v>200</v>
      </c>
      <c r="L332" s="4">
        <v>900</v>
      </c>
      <c r="M332" s="4">
        <f t="shared" si="157"/>
        <v>800</v>
      </c>
      <c r="N332" s="4">
        <v>3</v>
      </c>
      <c r="O332" s="4">
        <v>28</v>
      </c>
      <c r="P332" s="21">
        <f t="shared" si="167"/>
        <v>1847.2564803107985</v>
      </c>
      <c r="Q332" s="29">
        <f t="shared" si="182"/>
        <v>3.5524163082899969E-2</v>
      </c>
      <c r="R332" s="21">
        <v>560</v>
      </c>
      <c r="S332" s="41">
        <f t="shared" si="153"/>
        <v>3.4615384615384617</v>
      </c>
      <c r="T332" s="41">
        <f t="shared" si="154"/>
        <v>3.0769230769230771</v>
      </c>
      <c r="U332" s="4">
        <v>14</v>
      </c>
      <c r="V332" s="4">
        <v>43.2</v>
      </c>
      <c r="W332" s="4" t="s">
        <v>456</v>
      </c>
      <c r="X332" s="7">
        <f t="shared" si="183"/>
        <v>1</v>
      </c>
      <c r="Y332" s="4">
        <v>60</v>
      </c>
      <c r="Z332" s="8">
        <v>0.5</v>
      </c>
      <c r="AA332" s="41">
        <f t="shared" ref="AA332:AA350" si="187">Y332/AB332</f>
        <v>0.92307692307692313</v>
      </c>
      <c r="AB332" s="21">
        <v>65</v>
      </c>
      <c r="AC332" s="4">
        <v>1100</v>
      </c>
      <c r="AD332" s="7">
        <f t="shared" si="171"/>
        <v>0.32500000000000001</v>
      </c>
      <c r="AE332" s="21">
        <f t="shared" si="166"/>
        <v>120000</v>
      </c>
      <c r="AF332" s="21">
        <f t="shared" ref="AF332:AF395" si="188">2*AJ332</f>
        <v>240</v>
      </c>
      <c r="AG332" s="41">
        <f t="shared" si="158"/>
        <v>2.3336538461538461</v>
      </c>
      <c r="AH332" s="45">
        <f t="shared" si="172"/>
        <v>0.35505412581865331</v>
      </c>
      <c r="AI332" s="45">
        <f t="shared" si="173"/>
        <v>0.66508199079877295</v>
      </c>
      <c r="AJ332" s="21">
        <v>120</v>
      </c>
      <c r="AK332" s="21">
        <f t="shared" si="174"/>
        <v>1.5</v>
      </c>
      <c r="AL332" s="21">
        <f t="shared" si="165"/>
        <v>1.3499999999999999</v>
      </c>
      <c r="AM332" s="21">
        <f t="shared" si="155"/>
        <v>121.35</v>
      </c>
      <c r="AN332" s="41">
        <f t="shared" si="175"/>
        <v>2.3336538461538461</v>
      </c>
      <c r="AO332" s="41">
        <f t="shared" si="176"/>
        <v>0.35505412581865331</v>
      </c>
      <c r="AP332" s="41">
        <f t="shared" si="177"/>
        <v>0.66508199079877295</v>
      </c>
      <c r="AQ332" s="21">
        <f t="shared" si="178"/>
        <v>0.59062499999999996</v>
      </c>
      <c r="AR332" s="21">
        <f t="shared" si="179"/>
        <v>108</v>
      </c>
      <c r="AS332" s="21">
        <f t="shared" si="180"/>
        <v>108.590625</v>
      </c>
      <c r="AT332" s="41">
        <f t="shared" si="181"/>
        <v>3.441749072929543</v>
      </c>
      <c r="AU332" s="4"/>
    </row>
    <row r="333" spans="1:60" x14ac:dyDescent="0.25">
      <c r="B333">
        <v>4</v>
      </c>
      <c r="C333" s="8">
        <v>200</v>
      </c>
      <c r="D333" s="4">
        <v>300</v>
      </c>
      <c r="E333" s="8">
        <v>260</v>
      </c>
      <c r="F333">
        <f t="shared" si="184"/>
        <v>2100</v>
      </c>
      <c r="G333" s="8">
        <v>1800</v>
      </c>
      <c r="H333" s="4">
        <v>100</v>
      </c>
      <c r="I333">
        <f t="shared" si="185"/>
        <v>200</v>
      </c>
      <c r="J333" s="4">
        <v>100</v>
      </c>
      <c r="K333">
        <f t="shared" si="186"/>
        <v>200</v>
      </c>
      <c r="L333" s="4">
        <v>900</v>
      </c>
      <c r="M333" s="4">
        <f t="shared" si="157"/>
        <v>800</v>
      </c>
      <c r="N333" s="4">
        <v>3</v>
      </c>
      <c r="O333" s="4">
        <v>28</v>
      </c>
      <c r="P333" s="21">
        <f t="shared" si="167"/>
        <v>1847.2564803107985</v>
      </c>
      <c r="Q333" s="29">
        <f t="shared" si="182"/>
        <v>3.5524163082899969E-2</v>
      </c>
      <c r="R333" s="21">
        <v>560</v>
      </c>
      <c r="S333" s="41">
        <f t="shared" si="153"/>
        <v>3.4615384615384617</v>
      </c>
      <c r="T333" s="41">
        <f t="shared" si="154"/>
        <v>3.0769230769230771</v>
      </c>
      <c r="U333" s="4">
        <v>14</v>
      </c>
      <c r="V333" s="4">
        <v>47.6</v>
      </c>
      <c r="W333" s="4" t="s">
        <v>456</v>
      </c>
      <c r="X333" s="7">
        <f t="shared" si="183"/>
        <v>1</v>
      </c>
      <c r="Y333" s="4">
        <v>60</v>
      </c>
      <c r="Z333" s="8">
        <v>0.75</v>
      </c>
      <c r="AA333" s="41">
        <f t="shared" si="187"/>
        <v>0.92307692307692313</v>
      </c>
      <c r="AB333" s="21">
        <v>65</v>
      </c>
      <c r="AC333" s="4">
        <v>1100</v>
      </c>
      <c r="AD333" s="7">
        <f t="shared" si="171"/>
        <v>0.48749999999999999</v>
      </c>
      <c r="AE333" s="21">
        <f t="shared" si="166"/>
        <v>155000</v>
      </c>
      <c r="AF333" s="21">
        <f t="shared" si="188"/>
        <v>310</v>
      </c>
      <c r="AG333" s="41">
        <f t="shared" si="158"/>
        <v>3.006730769230769</v>
      </c>
      <c r="AH333" s="45">
        <f t="shared" si="172"/>
        <v>0.43580385300125146</v>
      </c>
      <c r="AI333" s="45">
        <f t="shared" si="173"/>
        <v>0.82964485517652109</v>
      </c>
      <c r="AJ333" s="21">
        <v>155</v>
      </c>
      <c r="AK333" s="21">
        <f t="shared" si="174"/>
        <v>1.5</v>
      </c>
      <c r="AL333" s="21">
        <f t="shared" si="165"/>
        <v>1.3499999999999999</v>
      </c>
      <c r="AM333" s="21">
        <f t="shared" si="155"/>
        <v>156.35</v>
      </c>
      <c r="AN333" s="41">
        <f t="shared" si="175"/>
        <v>3.0067307692307694</v>
      </c>
      <c r="AO333" s="41">
        <f t="shared" si="176"/>
        <v>0.43580385300125152</v>
      </c>
      <c r="AP333" s="41">
        <f t="shared" si="177"/>
        <v>0.8296448551765212</v>
      </c>
      <c r="AQ333" s="21">
        <f t="shared" si="178"/>
        <v>0.59062499999999996</v>
      </c>
      <c r="AR333" s="21">
        <f t="shared" si="179"/>
        <v>139.5</v>
      </c>
      <c r="AS333" s="21">
        <f t="shared" si="180"/>
        <v>140.09062499999999</v>
      </c>
      <c r="AT333" s="41">
        <f t="shared" si="181"/>
        <v>3.4461790607857119</v>
      </c>
      <c r="AU333" s="4"/>
    </row>
    <row r="334" spans="1:60" x14ac:dyDescent="0.25">
      <c r="B334">
        <v>14</v>
      </c>
      <c r="C334" s="8">
        <v>200</v>
      </c>
      <c r="D334" s="4">
        <v>300</v>
      </c>
      <c r="E334" s="8">
        <v>260</v>
      </c>
      <c r="F334">
        <f t="shared" si="184"/>
        <v>2600</v>
      </c>
      <c r="G334" s="8">
        <v>2300</v>
      </c>
      <c r="H334" s="4">
        <v>100</v>
      </c>
      <c r="I334">
        <f t="shared" si="185"/>
        <v>200</v>
      </c>
      <c r="J334" s="4">
        <v>100</v>
      </c>
      <c r="K334">
        <f t="shared" si="186"/>
        <v>200</v>
      </c>
      <c r="L334" s="4">
        <v>400</v>
      </c>
      <c r="M334" s="4">
        <f t="shared" si="157"/>
        <v>300</v>
      </c>
      <c r="N334" s="4">
        <v>3</v>
      </c>
      <c r="O334" s="4">
        <v>20</v>
      </c>
      <c r="P334" s="21">
        <f t="shared" si="167"/>
        <v>942.47779607693792</v>
      </c>
      <c r="Q334" s="29">
        <f t="shared" si="182"/>
        <v>1.8124573001479575E-2</v>
      </c>
      <c r="R334" s="21">
        <v>560</v>
      </c>
      <c r="S334" s="41">
        <f t="shared" si="153"/>
        <v>1.5384615384615385</v>
      </c>
      <c r="T334" s="41">
        <f t="shared" si="154"/>
        <v>1.1538461538461537</v>
      </c>
      <c r="U334" s="4">
        <v>14</v>
      </c>
      <c r="V334" s="4">
        <v>40.700000000000003</v>
      </c>
      <c r="W334" s="4" t="s">
        <v>456</v>
      </c>
      <c r="X334" s="7">
        <f t="shared" si="183"/>
        <v>1</v>
      </c>
      <c r="Y334" s="4">
        <v>60</v>
      </c>
      <c r="Z334" s="8">
        <v>0.25</v>
      </c>
      <c r="AA334" s="41">
        <f t="shared" si="187"/>
        <v>0.92307692307692313</v>
      </c>
      <c r="AB334" s="21">
        <v>65</v>
      </c>
      <c r="AC334" s="4">
        <v>1100</v>
      </c>
      <c r="AD334" s="7">
        <f t="shared" si="171"/>
        <v>0.16250000000000001</v>
      </c>
      <c r="AE334" s="21">
        <f t="shared" si="166"/>
        <v>280000</v>
      </c>
      <c r="AF334" s="21">
        <f t="shared" si="188"/>
        <v>560</v>
      </c>
      <c r="AG334" s="41">
        <f t="shared" si="158"/>
        <v>5.4177884615384615</v>
      </c>
      <c r="AH334" s="45">
        <f t="shared" si="172"/>
        <v>0.84922904499283469</v>
      </c>
      <c r="AI334" s="45">
        <f t="shared" si="173"/>
        <v>1.5750363243759196</v>
      </c>
      <c r="AJ334" s="21">
        <v>280</v>
      </c>
      <c r="AK334" s="21">
        <f t="shared" si="174"/>
        <v>1.5</v>
      </c>
      <c r="AL334" s="21">
        <f t="shared" si="165"/>
        <v>1.7249999999999994</v>
      </c>
      <c r="AM334" s="21">
        <f t="shared" si="155"/>
        <v>281.72500000000002</v>
      </c>
      <c r="AN334" s="41">
        <f t="shared" si="175"/>
        <v>5.4177884615384615</v>
      </c>
      <c r="AO334" s="41">
        <f t="shared" si="176"/>
        <v>0.84922904499283469</v>
      </c>
      <c r="AP334" s="41">
        <f t="shared" si="177"/>
        <v>1.5750363243759196</v>
      </c>
      <c r="AQ334" s="21">
        <f t="shared" si="178"/>
        <v>0.55312499999999998</v>
      </c>
      <c r="AR334" s="21">
        <f t="shared" si="179"/>
        <v>112</v>
      </c>
      <c r="AS334" s="21">
        <f t="shared" si="180"/>
        <v>112.55312499999999</v>
      </c>
      <c r="AT334" s="41">
        <f t="shared" si="181"/>
        <v>1.5365928995133005</v>
      </c>
      <c r="AU334" s="4"/>
    </row>
    <row r="335" spans="1:60" x14ac:dyDescent="0.25">
      <c r="B335">
        <v>15</v>
      </c>
      <c r="C335" s="8">
        <v>200</v>
      </c>
      <c r="D335" s="4">
        <v>300</v>
      </c>
      <c r="E335" s="8">
        <v>260</v>
      </c>
      <c r="F335">
        <f t="shared" si="184"/>
        <v>2600</v>
      </c>
      <c r="G335" s="8">
        <v>2300</v>
      </c>
      <c r="H335" s="4">
        <v>100</v>
      </c>
      <c r="I335">
        <f t="shared" si="185"/>
        <v>200</v>
      </c>
      <c r="J335" s="4">
        <v>100</v>
      </c>
      <c r="K335">
        <f t="shared" si="186"/>
        <v>200</v>
      </c>
      <c r="L335" s="4">
        <v>400</v>
      </c>
      <c r="M335" s="4">
        <f t="shared" si="157"/>
        <v>300</v>
      </c>
      <c r="N335" s="4">
        <v>3</v>
      </c>
      <c r="O335" s="4">
        <v>20</v>
      </c>
      <c r="P335" s="21">
        <f t="shared" si="167"/>
        <v>942.47779607693792</v>
      </c>
      <c r="Q335" s="29">
        <f t="shared" si="182"/>
        <v>1.8124573001479575E-2</v>
      </c>
      <c r="R335" s="21">
        <v>560</v>
      </c>
      <c r="S335" s="41">
        <f t="shared" si="153"/>
        <v>1.5384615384615385</v>
      </c>
      <c r="T335" s="41">
        <f t="shared" si="154"/>
        <v>1.1538461538461537</v>
      </c>
      <c r="U335" s="4">
        <v>14</v>
      </c>
      <c r="V335" s="4">
        <v>42.4</v>
      </c>
      <c r="W335" s="4" t="s">
        <v>456</v>
      </c>
      <c r="X335" s="7">
        <f t="shared" si="183"/>
        <v>1</v>
      </c>
      <c r="Y335" s="4">
        <v>60</v>
      </c>
      <c r="Z335" s="8">
        <v>0.75</v>
      </c>
      <c r="AA335" s="41">
        <f t="shared" si="187"/>
        <v>0.92307692307692313</v>
      </c>
      <c r="AB335" s="21">
        <v>65</v>
      </c>
      <c r="AC335" s="4">
        <v>1100</v>
      </c>
      <c r="AD335" s="7">
        <f t="shared" si="171"/>
        <v>0.48749999999999999</v>
      </c>
      <c r="AE335" s="21">
        <f t="shared" si="166"/>
        <v>300000</v>
      </c>
      <c r="AF335" s="21">
        <f t="shared" si="188"/>
        <v>600</v>
      </c>
      <c r="AG335" s="41">
        <f t="shared" si="158"/>
        <v>5.8024038461538465</v>
      </c>
      <c r="AH335" s="45">
        <f t="shared" si="172"/>
        <v>0.8910970871477113</v>
      </c>
      <c r="AI335" s="45">
        <f t="shared" si="173"/>
        <v>1.6639974897650645</v>
      </c>
      <c r="AJ335" s="21">
        <v>300</v>
      </c>
      <c r="AK335" s="21">
        <f t="shared" si="174"/>
        <v>1.5</v>
      </c>
      <c r="AL335" s="21">
        <f t="shared" si="165"/>
        <v>1.7249999999999994</v>
      </c>
      <c r="AM335" s="21">
        <f t="shared" si="155"/>
        <v>301.72500000000002</v>
      </c>
      <c r="AN335" s="41">
        <f t="shared" si="175"/>
        <v>5.8024038461538465</v>
      </c>
      <c r="AO335" s="41">
        <f t="shared" si="176"/>
        <v>0.8910970871477113</v>
      </c>
      <c r="AP335" s="41">
        <f t="shared" si="177"/>
        <v>1.6639974897650645</v>
      </c>
      <c r="AQ335" s="21">
        <f t="shared" si="178"/>
        <v>0.55312499999999998</v>
      </c>
      <c r="AR335" s="21">
        <f t="shared" si="179"/>
        <v>120</v>
      </c>
      <c r="AS335" s="21">
        <f t="shared" si="180"/>
        <v>120.55312499999999</v>
      </c>
      <c r="AT335" s="41">
        <f t="shared" si="181"/>
        <v>1.5367167632268304</v>
      </c>
      <c r="AU335" s="4"/>
    </row>
    <row r="336" spans="1:60" x14ac:dyDescent="0.25">
      <c r="B336">
        <v>17</v>
      </c>
      <c r="C336" s="8">
        <v>200</v>
      </c>
      <c r="D336" s="4">
        <v>300</v>
      </c>
      <c r="E336" s="8">
        <v>262</v>
      </c>
      <c r="F336">
        <f t="shared" si="184"/>
        <v>2600</v>
      </c>
      <c r="G336" s="8">
        <v>2300</v>
      </c>
      <c r="H336" s="4">
        <v>100</v>
      </c>
      <c r="I336">
        <f t="shared" si="185"/>
        <v>200</v>
      </c>
      <c r="J336" s="4">
        <v>100</v>
      </c>
      <c r="K336">
        <f t="shared" si="186"/>
        <v>200</v>
      </c>
      <c r="L336" s="4">
        <v>650</v>
      </c>
      <c r="M336" s="4">
        <f t="shared" si="157"/>
        <v>550</v>
      </c>
      <c r="N336" s="4">
        <v>3</v>
      </c>
      <c r="O336" s="4">
        <v>16</v>
      </c>
      <c r="P336" s="21">
        <f t="shared" si="167"/>
        <v>603.18578948924028</v>
      </c>
      <c r="Q336" s="29">
        <f t="shared" si="182"/>
        <v>1.151117918872596E-2</v>
      </c>
      <c r="R336" s="21">
        <v>560</v>
      </c>
      <c r="S336" s="41">
        <f t="shared" si="153"/>
        <v>2.4809160305343512</v>
      </c>
      <c r="T336" s="41">
        <f t="shared" si="154"/>
        <v>2.0992366412213741</v>
      </c>
      <c r="U336" s="4">
        <v>14</v>
      </c>
      <c r="V336" s="4">
        <v>39.1</v>
      </c>
      <c r="W336" s="4" t="s">
        <v>456</v>
      </c>
      <c r="X336" s="7">
        <f t="shared" si="183"/>
        <v>1</v>
      </c>
      <c r="Y336" s="4">
        <v>60</v>
      </c>
      <c r="Z336" s="8">
        <v>0.25</v>
      </c>
      <c r="AA336" s="41">
        <f t="shared" si="187"/>
        <v>0.92307692307692313</v>
      </c>
      <c r="AB336" s="21">
        <v>65</v>
      </c>
      <c r="AC336" s="4">
        <v>1100</v>
      </c>
      <c r="AD336" s="7">
        <f t="shared" si="171"/>
        <v>0.16250000000000001</v>
      </c>
      <c r="AE336" s="21">
        <f t="shared" si="166"/>
        <v>82500</v>
      </c>
      <c r="AF336" s="21">
        <f t="shared" si="188"/>
        <v>165</v>
      </c>
      <c r="AG336" s="41">
        <f t="shared" si="158"/>
        <v>1.6073473282442747</v>
      </c>
      <c r="AH336" s="45">
        <f t="shared" si="172"/>
        <v>0.25705221705310843</v>
      </c>
      <c r="AI336" s="45">
        <f t="shared" si="173"/>
        <v>0.47356996100078724</v>
      </c>
      <c r="AJ336" s="21">
        <v>82.5</v>
      </c>
      <c r="AK336" s="21">
        <f t="shared" si="174"/>
        <v>1.5</v>
      </c>
      <c r="AL336" s="21">
        <f t="shared" si="165"/>
        <v>1.7249999999999994</v>
      </c>
      <c r="AM336" s="21">
        <f t="shared" si="155"/>
        <v>84.224999999999994</v>
      </c>
      <c r="AN336" s="41">
        <f t="shared" si="175"/>
        <v>1.6073473282442747</v>
      </c>
      <c r="AO336" s="41">
        <f t="shared" si="176"/>
        <v>0.25705221705310843</v>
      </c>
      <c r="AP336" s="41">
        <f t="shared" si="177"/>
        <v>0.47356996100078724</v>
      </c>
      <c r="AQ336" s="21">
        <f t="shared" si="178"/>
        <v>0.78749999999999998</v>
      </c>
      <c r="AR336" s="21">
        <f t="shared" si="179"/>
        <v>53.625</v>
      </c>
      <c r="AS336" s="21">
        <f t="shared" si="180"/>
        <v>54.412500000000001</v>
      </c>
      <c r="AT336" s="41">
        <f t="shared" si="181"/>
        <v>2.4657916023736859</v>
      </c>
      <c r="AU336" s="4"/>
    </row>
    <row r="337" spans="1:60" x14ac:dyDescent="0.25">
      <c r="B337">
        <v>18</v>
      </c>
      <c r="C337" s="8">
        <v>200</v>
      </c>
      <c r="D337" s="4">
        <v>300</v>
      </c>
      <c r="E337" s="8">
        <v>262</v>
      </c>
      <c r="F337">
        <f t="shared" si="184"/>
        <v>2600</v>
      </c>
      <c r="G337" s="8">
        <v>2300</v>
      </c>
      <c r="H337" s="4">
        <v>100</v>
      </c>
      <c r="I337">
        <f t="shared" si="185"/>
        <v>200</v>
      </c>
      <c r="J337" s="4">
        <v>100</v>
      </c>
      <c r="K337">
        <f t="shared" si="186"/>
        <v>200</v>
      </c>
      <c r="L337" s="4">
        <v>650</v>
      </c>
      <c r="M337" s="4">
        <f t="shared" si="157"/>
        <v>550</v>
      </c>
      <c r="N337" s="4">
        <v>3</v>
      </c>
      <c r="O337" s="4">
        <v>16</v>
      </c>
      <c r="P337" s="21">
        <f t="shared" si="167"/>
        <v>603.18578948924028</v>
      </c>
      <c r="Q337" s="29">
        <f t="shared" si="182"/>
        <v>1.151117918872596E-2</v>
      </c>
      <c r="R337" s="21">
        <v>560</v>
      </c>
      <c r="S337" s="41">
        <f t="shared" si="153"/>
        <v>2.4809160305343512</v>
      </c>
      <c r="T337" s="41">
        <f t="shared" si="154"/>
        <v>2.0992366412213741</v>
      </c>
      <c r="U337" s="4">
        <v>14</v>
      </c>
      <c r="V337" s="4">
        <v>38.6</v>
      </c>
      <c r="W337" s="4" t="s">
        <v>456</v>
      </c>
      <c r="X337" s="7">
        <f t="shared" si="183"/>
        <v>1</v>
      </c>
      <c r="Y337" s="4">
        <v>60</v>
      </c>
      <c r="Z337" s="8">
        <v>0.75</v>
      </c>
      <c r="AA337" s="41">
        <f t="shared" si="187"/>
        <v>0.92307692307692313</v>
      </c>
      <c r="AB337" s="21">
        <v>65</v>
      </c>
      <c r="AC337" s="4">
        <v>1100</v>
      </c>
      <c r="AD337" s="7">
        <f t="shared" si="171"/>
        <v>0.48749999999999999</v>
      </c>
      <c r="AE337" s="21">
        <f t="shared" si="166"/>
        <v>108000</v>
      </c>
      <c r="AF337" s="21">
        <f t="shared" si="188"/>
        <v>216</v>
      </c>
      <c r="AG337" s="41">
        <f t="shared" si="158"/>
        <v>2.0939885496183206</v>
      </c>
      <c r="AH337" s="45">
        <f t="shared" si="172"/>
        <v>0.33703938231520586</v>
      </c>
      <c r="AI337" s="45">
        <f t="shared" si="173"/>
        <v>0.61960065421314059</v>
      </c>
      <c r="AJ337" s="21">
        <v>108</v>
      </c>
      <c r="AK337" s="21">
        <f t="shared" si="174"/>
        <v>1.5</v>
      </c>
      <c r="AL337" s="21">
        <f t="shared" si="165"/>
        <v>1.7249999999999994</v>
      </c>
      <c r="AM337" s="21">
        <f t="shared" si="155"/>
        <v>109.72499999999999</v>
      </c>
      <c r="AN337" s="41">
        <f t="shared" si="175"/>
        <v>2.0939885496183206</v>
      </c>
      <c r="AO337" s="41">
        <f t="shared" si="176"/>
        <v>0.33703938231520586</v>
      </c>
      <c r="AP337" s="41">
        <f t="shared" si="177"/>
        <v>0.61960065421314059</v>
      </c>
      <c r="AQ337" s="21">
        <f t="shared" si="178"/>
        <v>0.78749999999999998</v>
      </c>
      <c r="AR337" s="21">
        <f t="shared" si="179"/>
        <v>70.2</v>
      </c>
      <c r="AS337" s="21">
        <f t="shared" si="180"/>
        <v>70.987499999999997</v>
      </c>
      <c r="AT337" s="41">
        <f t="shared" si="181"/>
        <v>2.4693065070726785</v>
      </c>
      <c r="AU337" s="4"/>
    </row>
    <row r="338" spans="1:60" x14ac:dyDescent="0.25">
      <c r="B338">
        <v>20</v>
      </c>
      <c r="C338" s="8">
        <v>200</v>
      </c>
      <c r="D338" s="4">
        <v>300</v>
      </c>
      <c r="E338" s="8">
        <v>260</v>
      </c>
      <c r="F338">
        <f t="shared" si="184"/>
        <v>2600</v>
      </c>
      <c r="G338" s="8">
        <v>2300</v>
      </c>
      <c r="H338" s="4">
        <v>100</v>
      </c>
      <c r="I338">
        <f t="shared" si="185"/>
        <v>200</v>
      </c>
      <c r="J338" s="4">
        <v>100</v>
      </c>
      <c r="K338">
        <f t="shared" si="186"/>
        <v>200</v>
      </c>
      <c r="L338" s="4">
        <v>650</v>
      </c>
      <c r="M338" s="4">
        <f t="shared" si="157"/>
        <v>550</v>
      </c>
      <c r="N338" s="4">
        <v>3</v>
      </c>
      <c r="O338" s="4">
        <v>20</v>
      </c>
      <c r="P338" s="21">
        <f t="shared" si="167"/>
        <v>942.47779607693792</v>
      </c>
      <c r="Q338" s="29">
        <f t="shared" si="182"/>
        <v>1.8124573001479575E-2</v>
      </c>
      <c r="R338" s="21">
        <v>560</v>
      </c>
      <c r="S338" s="41">
        <f t="shared" si="153"/>
        <v>2.5</v>
      </c>
      <c r="T338" s="41">
        <f t="shared" si="154"/>
        <v>2.1153846153846154</v>
      </c>
      <c r="U338" s="4">
        <v>14</v>
      </c>
      <c r="V338" s="4">
        <v>39.1</v>
      </c>
      <c r="W338" s="4" t="s">
        <v>456</v>
      </c>
      <c r="X338" s="7">
        <f t="shared" si="183"/>
        <v>1</v>
      </c>
      <c r="Y338" s="4">
        <v>60</v>
      </c>
      <c r="Z338" s="8">
        <v>0.25</v>
      </c>
      <c r="AA338" s="41">
        <f t="shared" si="187"/>
        <v>0.92307692307692313</v>
      </c>
      <c r="AB338" s="21">
        <v>65</v>
      </c>
      <c r="AC338" s="4">
        <v>1100</v>
      </c>
      <c r="AD338" s="7">
        <f t="shared" si="171"/>
        <v>0.16250000000000001</v>
      </c>
      <c r="AE338" s="21">
        <f t="shared" si="166"/>
        <v>108000</v>
      </c>
      <c r="AF338" s="21">
        <f t="shared" si="188"/>
        <v>216</v>
      </c>
      <c r="AG338" s="41">
        <f t="shared" si="158"/>
        <v>2.110096153846154</v>
      </c>
      <c r="AH338" s="45">
        <f t="shared" si="172"/>
        <v>0.33745344581738063</v>
      </c>
      <c r="AI338" s="45">
        <f t="shared" si="173"/>
        <v>0.62169397722915187</v>
      </c>
      <c r="AJ338" s="21">
        <v>108</v>
      </c>
      <c r="AK338" s="21">
        <f t="shared" si="174"/>
        <v>1.5</v>
      </c>
      <c r="AL338" s="21">
        <f t="shared" si="165"/>
        <v>1.7249999999999994</v>
      </c>
      <c r="AM338" s="21">
        <f t="shared" si="155"/>
        <v>109.72499999999999</v>
      </c>
      <c r="AN338" s="41">
        <f t="shared" si="175"/>
        <v>2.110096153846154</v>
      </c>
      <c r="AO338" s="41">
        <f t="shared" si="176"/>
        <v>0.33745344581738063</v>
      </c>
      <c r="AP338" s="41">
        <f t="shared" si="177"/>
        <v>0.62169397722915187</v>
      </c>
      <c r="AQ338" s="21">
        <f t="shared" si="178"/>
        <v>0.78749999999999998</v>
      </c>
      <c r="AR338" s="21">
        <f t="shared" si="179"/>
        <v>70.2</v>
      </c>
      <c r="AS338" s="21">
        <f t="shared" si="180"/>
        <v>70.987499999999997</v>
      </c>
      <c r="AT338" s="41">
        <f t="shared" si="181"/>
        <v>2.4883011725116986</v>
      </c>
      <c r="AU338" s="4"/>
    </row>
    <row r="339" spans="1:60" x14ac:dyDescent="0.25">
      <c r="B339">
        <v>21</v>
      </c>
      <c r="C339" s="8">
        <v>200</v>
      </c>
      <c r="D339" s="4">
        <v>300</v>
      </c>
      <c r="E339" s="8">
        <v>260</v>
      </c>
      <c r="F339">
        <f t="shared" si="184"/>
        <v>2600</v>
      </c>
      <c r="G339" s="8">
        <v>2300</v>
      </c>
      <c r="H339" s="4">
        <v>100</v>
      </c>
      <c r="I339">
        <f t="shared" si="185"/>
        <v>200</v>
      </c>
      <c r="J339" s="4">
        <v>100</v>
      </c>
      <c r="K339">
        <f t="shared" si="186"/>
        <v>200</v>
      </c>
      <c r="L339" s="4">
        <v>650</v>
      </c>
      <c r="M339" s="4">
        <f t="shared" si="157"/>
        <v>550</v>
      </c>
      <c r="N339" s="4">
        <v>3</v>
      </c>
      <c r="O339" s="4">
        <v>20</v>
      </c>
      <c r="P339" s="21">
        <f t="shared" si="167"/>
        <v>942.47779607693792</v>
      </c>
      <c r="Q339" s="29">
        <f t="shared" si="182"/>
        <v>1.8124573001479575E-2</v>
      </c>
      <c r="R339" s="21">
        <v>560</v>
      </c>
      <c r="S339" s="41">
        <f t="shared" si="153"/>
        <v>2.5</v>
      </c>
      <c r="T339" s="41">
        <f t="shared" si="154"/>
        <v>2.1153846153846154</v>
      </c>
      <c r="U339" s="4">
        <v>14</v>
      </c>
      <c r="V339" s="4">
        <v>38.6</v>
      </c>
      <c r="W339" s="4" t="s">
        <v>456</v>
      </c>
      <c r="X339" s="7">
        <f t="shared" si="183"/>
        <v>1</v>
      </c>
      <c r="Y339" s="4">
        <v>60</v>
      </c>
      <c r="Z339" s="8">
        <v>0.75</v>
      </c>
      <c r="AA339" s="41">
        <f t="shared" si="187"/>
        <v>0.92307692307692313</v>
      </c>
      <c r="AB339" s="21">
        <v>65</v>
      </c>
      <c r="AC339" s="4">
        <v>1100</v>
      </c>
      <c r="AD339" s="7">
        <f t="shared" si="171"/>
        <v>0.48749999999999999</v>
      </c>
      <c r="AE339" s="21">
        <f t="shared" si="166"/>
        <v>144000</v>
      </c>
      <c r="AF339" s="21">
        <f t="shared" si="188"/>
        <v>288</v>
      </c>
      <c r="AG339" s="41">
        <f t="shared" si="158"/>
        <v>2.8024038461538461</v>
      </c>
      <c r="AH339" s="45">
        <f t="shared" si="172"/>
        <v>0.45106285871410845</v>
      </c>
      <c r="AI339" s="45">
        <f t="shared" si="173"/>
        <v>0.8292171687198765</v>
      </c>
      <c r="AJ339" s="21">
        <v>144</v>
      </c>
      <c r="AK339" s="21">
        <f t="shared" si="174"/>
        <v>1.5</v>
      </c>
      <c r="AL339" s="21">
        <f t="shared" si="165"/>
        <v>1.7249999999999994</v>
      </c>
      <c r="AM339" s="21">
        <f t="shared" si="155"/>
        <v>145.72499999999999</v>
      </c>
      <c r="AN339" s="41">
        <f t="shared" si="175"/>
        <v>2.8024038461538461</v>
      </c>
      <c r="AO339" s="41">
        <f t="shared" si="176"/>
        <v>0.45106285871410845</v>
      </c>
      <c r="AP339" s="41">
        <f t="shared" si="177"/>
        <v>0.8292171687198765</v>
      </c>
      <c r="AQ339" s="21">
        <f t="shared" si="178"/>
        <v>0.78749999999999998</v>
      </c>
      <c r="AR339" s="21">
        <f t="shared" si="179"/>
        <v>93.6</v>
      </c>
      <c r="AS339" s="21">
        <f t="shared" si="180"/>
        <v>94.387499999999989</v>
      </c>
      <c r="AT339" s="41">
        <f t="shared" si="181"/>
        <v>2.4911912585613045</v>
      </c>
      <c r="AU339" s="4"/>
    </row>
    <row r="340" spans="1:60" x14ac:dyDescent="0.25">
      <c r="B340">
        <v>23</v>
      </c>
      <c r="C340" s="8">
        <v>200</v>
      </c>
      <c r="D340" s="4">
        <v>300</v>
      </c>
      <c r="E340" s="8">
        <v>260</v>
      </c>
      <c r="F340">
        <f t="shared" si="184"/>
        <v>2600</v>
      </c>
      <c r="G340" s="8">
        <v>2300</v>
      </c>
      <c r="H340" s="4">
        <v>100</v>
      </c>
      <c r="I340">
        <f t="shared" si="185"/>
        <v>200</v>
      </c>
      <c r="J340" s="4">
        <v>100</v>
      </c>
      <c r="K340">
        <f t="shared" si="186"/>
        <v>200</v>
      </c>
      <c r="L340" s="4">
        <v>1050</v>
      </c>
      <c r="M340" s="4">
        <f t="shared" si="157"/>
        <v>950</v>
      </c>
      <c r="N340" s="4">
        <v>3</v>
      </c>
      <c r="O340" s="4">
        <v>20</v>
      </c>
      <c r="P340" s="21">
        <f t="shared" si="167"/>
        <v>942.47779607693792</v>
      </c>
      <c r="Q340" s="29">
        <f t="shared" si="182"/>
        <v>1.8124573001479575E-2</v>
      </c>
      <c r="R340" s="21">
        <v>560</v>
      </c>
      <c r="S340" s="41">
        <f t="shared" si="153"/>
        <v>4.0384615384615383</v>
      </c>
      <c r="T340" s="41">
        <f t="shared" si="154"/>
        <v>3.6538461538461537</v>
      </c>
      <c r="U340" s="4">
        <v>14</v>
      </c>
      <c r="V340" s="4">
        <v>40.700000000000003</v>
      </c>
      <c r="W340" s="4" t="s">
        <v>456</v>
      </c>
      <c r="X340" s="7">
        <f t="shared" si="183"/>
        <v>1</v>
      </c>
      <c r="Y340" s="4">
        <v>60</v>
      </c>
      <c r="Z340" s="8">
        <v>0.25</v>
      </c>
      <c r="AA340" s="41">
        <f t="shared" si="187"/>
        <v>0.92307692307692313</v>
      </c>
      <c r="AB340" s="21">
        <v>65</v>
      </c>
      <c r="AC340" s="4">
        <v>1100</v>
      </c>
      <c r="AD340" s="7">
        <f t="shared" si="171"/>
        <v>0.16250000000000001</v>
      </c>
      <c r="AE340" s="21">
        <f t="shared" si="166"/>
        <v>82500</v>
      </c>
      <c r="AF340" s="21">
        <f t="shared" si="188"/>
        <v>165</v>
      </c>
      <c r="AG340" s="41">
        <f t="shared" si="158"/>
        <v>1.6197115384615384</v>
      </c>
      <c r="AH340" s="45">
        <f t="shared" si="172"/>
        <v>0.25388700439975681</v>
      </c>
      <c r="AI340" s="45">
        <f t="shared" si="173"/>
        <v>0.47087562133485428</v>
      </c>
      <c r="AJ340" s="21">
        <v>82.5</v>
      </c>
      <c r="AK340" s="21">
        <f t="shared" si="174"/>
        <v>1.5</v>
      </c>
      <c r="AL340" s="21">
        <f t="shared" si="165"/>
        <v>1.7249999999999994</v>
      </c>
      <c r="AM340" s="21">
        <f t="shared" si="155"/>
        <v>84.224999999999994</v>
      </c>
      <c r="AN340" s="41">
        <f t="shared" si="175"/>
        <v>1.6197115384615384</v>
      </c>
      <c r="AO340" s="41">
        <f t="shared" si="176"/>
        <v>0.25388700439975681</v>
      </c>
      <c r="AP340" s="41">
        <f t="shared" si="177"/>
        <v>0.47087562133485428</v>
      </c>
      <c r="AQ340" s="21">
        <f t="shared" si="178"/>
        <v>0.9674999999999998</v>
      </c>
      <c r="AR340" s="21">
        <f t="shared" si="179"/>
        <v>86.625</v>
      </c>
      <c r="AS340" s="21">
        <f t="shared" si="180"/>
        <v>87.592500000000001</v>
      </c>
      <c r="AT340" s="41">
        <f t="shared" si="181"/>
        <v>3.9999315021576822</v>
      </c>
      <c r="AU340" s="4"/>
    </row>
    <row r="341" spans="1:60" x14ac:dyDescent="0.25">
      <c r="B341">
        <v>24</v>
      </c>
      <c r="C341" s="8">
        <v>200</v>
      </c>
      <c r="D341" s="4">
        <v>300</v>
      </c>
      <c r="E341" s="8">
        <v>260</v>
      </c>
      <c r="F341">
        <f t="shared" si="184"/>
        <v>2600</v>
      </c>
      <c r="G341" s="8">
        <v>2300</v>
      </c>
      <c r="H341" s="4">
        <v>100</v>
      </c>
      <c r="I341">
        <f t="shared" si="185"/>
        <v>200</v>
      </c>
      <c r="J341" s="4">
        <v>100</v>
      </c>
      <c r="K341">
        <f t="shared" si="186"/>
        <v>200</v>
      </c>
      <c r="L341" s="4">
        <v>1050</v>
      </c>
      <c r="M341" s="4">
        <f t="shared" si="157"/>
        <v>950</v>
      </c>
      <c r="N341" s="4">
        <v>3</v>
      </c>
      <c r="O341" s="4">
        <v>20</v>
      </c>
      <c r="P341" s="21">
        <f t="shared" si="167"/>
        <v>942.47779607693792</v>
      </c>
      <c r="Q341" s="29">
        <f t="shared" si="182"/>
        <v>1.8124573001479575E-2</v>
      </c>
      <c r="R341" s="21">
        <v>560</v>
      </c>
      <c r="S341" s="41">
        <f t="shared" si="153"/>
        <v>4.0384615384615383</v>
      </c>
      <c r="T341" s="41">
        <f t="shared" si="154"/>
        <v>3.6538461538461537</v>
      </c>
      <c r="U341" s="4">
        <v>14</v>
      </c>
      <c r="V341" s="4">
        <v>42.4</v>
      </c>
      <c r="W341" s="4" t="s">
        <v>456</v>
      </c>
      <c r="X341" s="7">
        <f t="shared" si="183"/>
        <v>1</v>
      </c>
      <c r="Y341" s="4">
        <v>60</v>
      </c>
      <c r="Z341" s="8">
        <v>0.75</v>
      </c>
      <c r="AA341" s="41">
        <f t="shared" si="187"/>
        <v>0.92307692307692313</v>
      </c>
      <c r="AB341" s="21">
        <v>65</v>
      </c>
      <c r="AC341" s="4">
        <v>1100</v>
      </c>
      <c r="AD341" s="7">
        <f t="shared" si="171"/>
        <v>0.48749999999999999</v>
      </c>
      <c r="AE341" s="21">
        <f t="shared" si="166"/>
        <v>117000</v>
      </c>
      <c r="AF341" s="21">
        <f t="shared" si="188"/>
        <v>234</v>
      </c>
      <c r="AG341" s="41">
        <f t="shared" si="158"/>
        <v>2.2831730769230769</v>
      </c>
      <c r="AH341" s="45">
        <f t="shared" si="172"/>
        <v>0.35063551801014836</v>
      </c>
      <c r="AI341" s="45">
        <f t="shared" si="173"/>
        <v>0.65476212435945735</v>
      </c>
      <c r="AJ341" s="21">
        <v>117</v>
      </c>
      <c r="AK341" s="21">
        <f t="shared" si="174"/>
        <v>1.5</v>
      </c>
      <c r="AL341" s="21">
        <f t="shared" si="165"/>
        <v>1.7249999999999994</v>
      </c>
      <c r="AM341" s="21">
        <f t="shared" si="155"/>
        <v>118.72499999999999</v>
      </c>
      <c r="AN341" s="41">
        <f t="shared" si="175"/>
        <v>2.2831730769230769</v>
      </c>
      <c r="AO341" s="41">
        <f t="shared" si="176"/>
        <v>0.35063551801014836</v>
      </c>
      <c r="AP341" s="41">
        <f t="shared" si="177"/>
        <v>0.65476212435945735</v>
      </c>
      <c r="AQ341" s="21">
        <f t="shared" si="178"/>
        <v>0.9674999999999998</v>
      </c>
      <c r="AR341" s="21">
        <f t="shared" si="179"/>
        <v>122.85</v>
      </c>
      <c r="AS341" s="21">
        <f t="shared" si="180"/>
        <v>123.8175</v>
      </c>
      <c r="AT341" s="41">
        <f t="shared" si="181"/>
        <v>4.0111278487778801</v>
      </c>
      <c r="AU341" s="4"/>
    </row>
    <row r="342" spans="1:60" x14ac:dyDescent="0.25">
      <c r="B342">
        <v>26</v>
      </c>
      <c r="C342" s="8">
        <v>200</v>
      </c>
      <c r="D342" s="4">
        <v>300</v>
      </c>
      <c r="E342" s="8">
        <v>262</v>
      </c>
      <c r="F342">
        <f t="shared" si="184"/>
        <v>2600</v>
      </c>
      <c r="G342" s="8">
        <v>2300</v>
      </c>
      <c r="H342" s="4">
        <v>100</v>
      </c>
      <c r="I342">
        <f t="shared" si="185"/>
        <v>200</v>
      </c>
      <c r="J342" s="4">
        <v>100</v>
      </c>
      <c r="K342">
        <f t="shared" si="186"/>
        <v>200</v>
      </c>
      <c r="L342" s="4">
        <v>650</v>
      </c>
      <c r="M342" s="4">
        <f t="shared" si="157"/>
        <v>550</v>
      </c>
      <c r="N342" s="4">
        <v>3</v>
      </c>
      <c r="O342" s="4">
        <v>16</v>
      </c>
      <c r="P342" s="21">
        <f t="shared" si="167"/>
        <v>603.18578948924028</v>
      </c>
      <c r="Q342" s="29">
        <f t="shared" si="182"/>
        <v>1.151117918872596E-2</v>
      </c>
      <c r="R342" s="21">
        <v>560</v>
      </c>
      <c r="S342" s="41">
        <f t="shared" si="153"/>
        <v>2.4809160305343512</v>
      </c>
      <c r="T342" s="41">
        <f t="shared" si="154"/>
        <v>2.0992366412213741</v>
      </c>
      <c r="U342" s="4">
        <v>14</v>
      </c>
      <c r="V342" s="4">
        <v>26.5</v>
      </c>
      <c r="W342" s="4" t="s">
        <v>456</v>
      </c>
      <c r="X342" s="7">
        <f t="shared" si="183"/>
        <v>1</v>
      </c>
      <c r="Y342" s="4">
        <v>50</v>
      </c>
      <c r="Z342" s="8">
        <v>0.25</v>
      </c>
      <c r="AA342" s="41">
        <f t="shared" si="187"/>
        <v>1.1111111111111112</v>
      </c>
      <c r="AB342" s="21">
        <v>45</v>
      </c>
      <c r="AC342" s="4">
        <v>1100</v>
      </c>
      <c r="AD342" s="7">
        <f t="shared" si="171"/>
        <v>0.1125</v>
      </c>
      <c r="AE342" s="21">
        <f t="shared" si="166"/>
        <v>100000</v>
      </c>
      <c r="AF342" s="21">
        <f t="shared" si="188"/>
        <v>200</v>
      </c>
      <c r="AG342" s="41">
        <f t="shared" si="158"/>
        <v>1.9413167938931297</v>
      </c>
      <c r="AH342" s="45">
        <f t="shared" si="172"/>
        <v>0.37711471125302554</v>
      </c>
      <c r="AI342" s="45">
        <f t="shared" si="173"/>
        <v>0.65115011295182468</v>
      </c>
      <c r="AJ342" s="21">
        <v>100</v>
      </c>
      <c r="AK342" s="21">
        <f t="shared" si="174"/>
        <v>1.5</v>
      </c>
      <c r="AL342" s="21">
        <f t="shared" si="165"/>
        <v>1.7249999999999994</v>
      </c>
      <c r="AM342" s="21">
        <f t="shared" si="155"/>
        <v>101.72499999999999</v>
      </c>
      <c r="AN342" s="41">
        <f t="shared" si="175"/>
        <v>1.9413167938931297</v>
      </c>
      <c r="AO342" s="41">
        <f t="shared" si="176"/>
        <v>0.37711471125302554</v>
      </c>
      <c r="AP342" s="41">
        <f t="shared" si="177"/>
        <v>0.65115011295182468</v>
      </c>
      <c r="AQ342" s="21">
        <f t="shared" si="178"/>
        <v>0.78749999999999998</v>
      </c>
      <c r="AR342" s="21">
        <f t="shared" si="179"/>
        <v>65</v>
      </c>
      <c r="AS342" s="21">
        <f t="shared" si="180"/>
        <v>65.787499999999994</v>
      </c>
      <c r="AT342" s="41">
        <f t="shared" si="181"/>
        <v>2.4683934946598658</v>
      </c>
      <c r="AU342" s="4"/>
    </row>
    <row r="343" spans="1:60" x14ac:dyDescent="0.25">
      <c r="B343">
        <v>27</v>
      </c>
      <c r="C343" s="8">
        <v>200</v>
      </c>
      <c r="D343" s="4">
        <v>300</v>
      </c>
      <c r="E343" s="8">
        <v>262</v>
      </c>
      <c r="F343">
        <f t="shared" si="184"/>
        <v>2600</v>
      </c>
      <c r="G343" s="8">
        <v>2300</v>
      </c>
      <c r="H343" s="4">
        <v>100</v>
      </c>
      <c r="I343">
        <f t="shared" si="185"/>
        <v>200</v>
      </c>
      <c r="J343" s="4">
        <v>100</v>
      </c>
      <c r="K343">
        <f t="shared" si="186"/>
        <v>200</v>
      </c>
      <c r="L343" s="4">
        <v>650</v>
      </c>
      <c r="M343" s="4">
        <f t="shared" si="157"/>
        <v>550</v>
      </c>
      <c r="N343" s="4">
        <v>3</v>
      </c>
      <c r="O343" s="4">
        <v>16</v>
      </c>
      <c r="P343" s="21">
        <f t="shared" si="167"/>
        <v>603.18578948924028</v>
      </c>
      <c r="Q343" s="29">
        <f t="shared" si="182"/>
        <v>1.151117918872596E-2</v>
      </c>
      <c r="R343" s="21">
        <v>560</v>
      </c>
      <c r="S343" s="41">
        <f t="shared" si="153"/>
        <v>2.4809160305343512</v>
      </c>
      <c r="T343" s="41">
        <f t="shared" si="154"/>
        <v>2.0992366412213741</v>
      </c>
      <c r="U343" s="4">
        <v>14</v>
      </c>
      <c r="V343" s="4">
        <v>27.2</v>
      </c>
      <c r="W343" s="4" t="s">
        <v>456</v>
      </c>
      <c r="X343" s="7">
        <f t="shared" si="183"/>
        <v>1</v>
      </c>
      <c r="Y343" s="4">
        <v>50</v>
      </c>
      <c r="Z343" s="8">
        <v>0.75</v>
      </c>
      <c r="AA343" s="41">
        <f t="shared" si="187"/>
        <v>1.1111111111111112</v>
      </c>
      <c r="AB343" s="21">
        <v>45</v>
      </c>
      <c r="AC343" s="4">
        <v>1100</v>
      </c>
      <c r="AD343" s="7">
        <f t="shared" si="171"/>
        <v>0.33750000000000002</v>
      </c>
      <c r="AE343" s="21">
        <f t="shared" si="166"/>
        <v>120000</v>
      </c>
      <c r="AF343" s="21">
        <f t="shared" si="188"/>
        <v>240</v>
      </c>
      <c r="AG343" s="41">
        <f t="shared" si="158"/>
        <v>2.322996183206107</v>
      </c>
      <c r="AH343" s="45">
        <f t="shared" si="172"/>
        <v>0.44541418543628897</v>
      </c>
      <c r="AI343" s="45">
        <f t="shared" si="173"/>
        <v>0.77242951762574874</v>
      </c>
      <c r="AJ343" s="21">
        <v>120</v>
      </c>
      <c r="AK343" s="21">
        <f t="shared" si="174"/>
        <v>1.5</v>
      </c>
      <c r="AL343" s="21">
        <f t="shared" si="165"/>
        <v>1.7249999999999994</v>
      </c>
      <c r="AM343" s="21">
        <f t="shared" si="155"/>
        <v>121.72499999999999</v>
      </c>
      <c r="AN343" s="41">
        <f t="shared" si="175"/>
        <v>2.322996183206107</v>
      </c>
      <c r="AO343" s="41">
        <f t="shared" si="176"/>
        <v>0.44541418543628897</v>
      </c>
      <c r="AP343" s="41">
        <f t="shared" si="177"/>
        <v>0.77242951762574874</v>
      </c>
      <c r="AQ343" s="21">
        <f t="shared" si="178"/>
        <v>0.78749999999999998</v>
      </c>
      <c r="AR343" s="21">
        <f t="shared" si="179"/>
        <v>78</v>
      </c>
      <c r="AS343" s="21">
        <f t="shared" si="180"/>
        <v>78.787499999999994</v>
      </c>
      <c r="AT343" s="41">
        <f t="shared" si="181"/>
        <v>2.4704510072290971</v>
      </c>
      <c r="AU343" s="4"/>
    </row>
    <row r="344" spans="1:60" x14ac:dyDescent="0.25">
      <c r="B344">
        <v>29</v>
      </c>
      <c r="C344" s="8">
        <v>200</v>
      </c>
      <c r="D344" s="4">
        <v>300</v>
      </c>
      <c r="E344" s="8">
        <v>260</v>
      </c>
      <c r="F344">
        <f t="shared" si="184"/>
        <v>2600</v>
      </c>
      <c r="G344" s="8">
        <v>2300</v>
      </c>
      <c r="H344" s="4">
        <v>100</v>
      </c>
      <c r="I344">
        <f t="shared" si="185"/>
        <v>200</v>
      </c>
      <c r="J344" s="4">
        <v>100</v>
      </c>
      <c r="K344">
        <f t="shared" si="186"/>
        <v>200</v>
      </c>
      <c r="L344" s="4">
        <v>650</v>
      </c>
      <c r="M344" s="4">
        <f t="shared" si="157"/>
        <v>550</v>
      </c>
      <c r="N344" s="4">
        <v>3</v>
      </c>
      <c r="O344" s="4">
        <v>20</v>
      </c>
      <c r="P344" s="21">
        <f t="shared" si="167"/>
        <v>942.47779607693792</v>
      </c>
      <c r="Q344" s="29">
        <f t="shared" si="182"/>
        <v>1.8124573001479575E-2</v>
      </c>
      <c r="R344" s="21">
        <v>560</v>
      </c>
      <c r="S344" s="41">
        <f t="shared" si="153"/>
        <v>2.5</v>
      </c>
      <c r="T344" s="41">
        <f t="shared" si="154"/>
        <v>2.1153846153846154</v>
      </c>
      <c r="U344" s="4">
        <v>14</v>
      </c>
      <c r="V344" s="4">
        <v>26.5</v>
      </c>
      <c r="W344" s="4" t="s">
        <v>456</v>
      </c>
      <c r="X344" s="7">
        <f t="shared" si="183"/>
        <v>1</v>
      </c>
      <c r="Y344" s="4">
        <v>50</v>
      </c>
      <c r="Z344" s="8">
        <v>0.25</v>
      </c>
      <c r="AA344" s="41">
        <f t="shared" si="187"/>
        <v>1.1111111111111112</v>
      </c>
      <c r="AB344" s="21">
        <v>45</v>
      </c>
      <c r="AC344" s="4">
        <v>1100</v>
      </c>
      <c r="AD344" s="7">
        <f t="shared" si="171"/>
        <v>0.1125</v>
      </c>
      <c r="AE344" s="21">
        <f t="shared" si="166"/>
        <v>100000</v>
      </c>
      <c r="AF344" s="21">
        <f t="shared" si="188"/>
        <v>200</v>
      </c>
      <c r="AG344" s="41">
        <f t="shared" si="158"/>
        <v>1.95625</v>
      </c>
      <c r="AH344" s="45">
        <f t="shared" si="172"/>
        <v>0.3800155936472796</v>
      </c>
      <c r="AI344" s="45">
        <f t="shared" si="173"/>
        <v>0.65615895997453111</v>
      </c>
      <c r="AJ344" s="21">
        <v>100</v>
      </c>
      <c r="AK344" s="21">
        <f t="shared" si="174"/>
        <v>1.5</v>
      </c>
      <c r="AL344" s="21">
        <f t="shared" si="165"/>
        <v>1.7249999999999994</v>
      </c>
      <c r="AM344" s="21">
        <f t="shared" si="155"/>
        <v>101.72499999999999</v>
      </c>
      <c r="AN344" s="41">
        <f t="shared" si="175"/>
        <v>1.95625</v>
      </c>
      <c r="AO344" s="41">
        <f t="shared" si="176"/>
        <v>0.3800155936472796</v>
      </c>
      <c r="AP344" s="41">
        <f t="shared" si="177"/>
        <v>0.65615895997453111</v>
      </c>
      <c r="AQ344" s="21">
        <f t="shared" si="178"/>
        <v>0.78749999999999998</v>
      </c>
      <c r="AR344" s="21">
        <f t="shared" si="179"/>
        <v>65</v>
      </c>
      <c r="AS344" s="21">
        <f t="shared" si="180"/>
        <v>65.787499999999994</v>
      </c>
      <c r="AT344" s="41">
        <f t="shared" si="181"/>
        <v>2.4873811369264796</v>
      </c>
      <c r="AU344" s="4"/>
    </row>
    <row r="345" spans="1:60" x14ac:dyDescent="0.25">
      <c r="B345">
        <v>30</v>
      </c>
      <c r="C345" s="8">
        <v>200</v>
      </c>
      <c r="D345" s="4">
        <v>300</v>
      </c>
      <c r="E345" s="8">
        <v>260</v>
      </c>
      <c r="F345">
        <f t="shared" si="184"/>
        <v>2600</v>
      </c>
      <c r="G345" s="8">
        <v>2300</v>
      </c>
      <c r="H345" s="4">
        <v>100</v>
      </c>
      <c r="I345">
        <f t="shared" si="185"/>
        <v>200</v>
      </c>
      <c r="J345" s="4">
        <v>100</v>
      </c>
      <c r="K345">
        <f t="shared" si="186"/>
        <v>200</v>
      </c>
      <c r="L345" s="4">
        <v>650</v>
      </c>
      <c r="M345" s="4">
        <f t="shared" si="157"/>
        <v>550</v>
      </c>
      <c r="N345" s="4">
        <v>3</v>
      </c>
      <c r="O345" s="4">
        <v>20</v>
      </c>
      <c r="P345" s="21">
        <f t="shared" si="167"/>
        <v>942.47779607693792</v>
      </c>
      <c r="Q345" s="29">
        <f t="shared" si="182"/>
        <v>1.8124573001479575E-2</v>
      </c>
      <c r="R345" s="21">
        <v>560</v>
      </c>
      <c r="S345" s="41">
        <f t="shared" si="153"/>
        <v>2.5</v>
      </c>
      <c r="T345" s="41">
        <f t="shared" si="154"/>
        <v>2.1153846153846154</v>
      </c>
      <c r="U345" s="4">
        <v>14</v>
      </c>
      <c r="V345" s="4">
        <v>27.2</v>
      </c>
      <c r="W345" s="4" t="s">
        <v>456</v>
      </c>
      <c r="X345" s="7">
        <f t="shared" si="183"/>
        <v>1</v>
      </c>
      <c r="Y345" s="4">
        <v>50</v>
      </c>
      <c r="Z345" s="8">
        <v>0.75</v>
      </c>
      <c r="AA345" s="41">
        <f t="shared" si="187"/>
        <v>1.1111111111111112</v>
      </c>
      <c r="AB345" s="21">
        <v>45</v>
      </c>
      <c r="AC345" s="4">
        <v>1100</v>
      </c>
      <c r="AD345" s="7">
        <f t="shared" si="171"/>
        <v>0.33750000000000002</v>
      </c>
      <c r="AE345" s="21">
        <f t="shared" si="166"/>
        <v>120000</v>
      </c>
      <c r="AF345" s="21">
        <f t="shared" si="188"/>
        <v>240</v>
      </c>
      <c r="AG345" s="41">
        <f t="shared" si="158"/>
        <v>2.3408653846153844</v>
      </c>
      <c r="AH345" s="45">
        <f t="shared" si="172"/>
        <v>0.44884044840118348</v>
      </c>
      <c r="AI345" s="45">
        <f t="shared" si="173"/>
        <v>0.77837128314594661</v>
      </c>
      <c r="AJ345" s="21">
        <v>120</v>
      </c>
      <c r="AK345" s="21">
        <f t="shared" si="174"/>
        <v>1.5</v>
      </c>
      <c r="AL345" s="21">
        <f t="shared" si="165"/>
        <v>1.7249999999999994</v>
      </c>
      <c r="AM345" s="21">
        <f t="shared" si="155"/>
        <v>121.72499999999999</v>
      </c>
      <c r="AN345" s="41">
        <f t="shared" si="175"/>
        <v>2.3408653846153844</v>
      </c>
      <c r="AO345" s="41">
        <f t="shared" si="176"/>
        <v>0.44884044840118348</v>
      </c>
      <c r="AP345" s="41">
        <f t="shared" si="177"/>
        <v>0.77837128314594661</v>
      </c>
      <c r="AQ345" s="21">
        <f t="shared" si="178"/>
        <v>0.78749999999999998</v>
      </c>
      <c r="AR345" s="21">
        <f t="shared" si="179"/>
        <v>78</v>
      </c>
      <c r="AS345" s="21">
        <f t="shared" si="180"/>
        <v>78.787499999999994</v>
      </c>
      <c r="AT345" s="41">
        <f t="shared" si="181"/>
        <v>2.4894544765154745</v>
      </c>
      <c r="AU345" s="4"/>
    </row>
    <row r="346" spans="1:60" x14ac:dyDescent="0.25">
      <c r="B346">
        <v>31</v>
      </c>
      <c r="C346" s="8">
        <v>200</v>
      </c>
      <c r="D346" s="4">
        <v>300</v>
      </c>
      <c r="E346" s="8">
        <v>262</v>
      </c>
      <c r="F346">
        <f t="shared" si="184"/>
        <v>2600</v>
      </c>
      <c r="G346" s="8">
        <v>2300</v>
      </c>
      <c r="H346" s="4">
        <v>100</v>
      </c>
      <c r="I346">
        <f t="shared" si="185"/>
        <v>200</v>
      </c>
      <c r="J346" s="4">
        <v>100</v>
      </c>
      <c r="K346">
        <f t="shared" si="186"/>
        <v>200</v>
      </c>
      <c r="L346" s="4">
        <v>650</v>
      </c>
      <c r="M346" s="4">
        <f t="shared" si="157"/>
        <v>550</v>
      </c>
      <c r="N346" s="4">
        <v>3</v>
      </c>
      <c r="O346" s="4">
        <v>16</v>
      </c>
      <c r="P346" s="21">
        <f t="shared" si="167"/>
        <v>603.18578948924028</v>
      </c>
      <c r="Q346" s="29">
        <f t="shared" si="182"/>
        <v>1.151117918872596E-2</v>
      </c>
      <c r="R346" s="21">
        <v>560</v>
      </c>
      <c r="S346" s="41">
        <f t="shared" si="153"/>
        <v>2.4809160305343512</v>
      </c>
      <c r="T346" s="41">
        <f t="shared" si="154"/>
        <v>2.0992366412213741</v>
      </c>
      <c r="U346" s="4">
        <v>14</v>
      </c>
      <c r="V346" s="4">
        <v>47.4</v>
      </c>
      <c r="W346" s="4" t="s">
        <v>456</v>
      </c>
      <c r="X346" s="7">
        <f t="shared" si="183"/>
        <v>1</v>
      </c>
      <c r="Y346" s="4">
        <v>60</v>
      </c>
      <c r="Z346" s="8">
        <v>0.5</v>
      </c>
      <c r="AA346" s="41">
        <f t="shared" si="187"/>
        <v>0.92307692307692313</v>
      </c>
      <c r="AB346" s="21">
        <v>65</v>
      </c>
      <c r="AC346" s="4">
        <v>1100</v>
      </c>
      <c r="AD346" s="7">
        <f t="shared" si="171"/>
        <v>0.32500000000000001</v>
      </c>
      <c r="AE346" s="21">
        <f t="shared" si="166"/>
        <v>130000</v>
      </c>
      <c r="AF346" s="21">
        <f t="shared" si="188"/>
        <v>260</v>
      </c>
      <c r="AG346" s="41">
        <f t="shared" si="158"/>
        <v>2.5138358778625953</v>
      </c>
      <c r="AH346" s="45">
        <f t="shared" si="172"/>
        <v>0.36513019528815288</v>
      </c>
      <c r="AI346" s="45">
        <f t="shared" si="173"/>
        <v>0.69461497148188356</v>
      </c>
      <c r="AJ346" s="21">
        <v>130</v>
      </c>
      <c r="AK346" s="21">
        <f t="shared" si="174"/>
        <v>1.5</v>
      </c>
      <c r="AL346" s="21">
        <f t="shared" si="165"/>
        <v>1.7249999999999994</v>
      </c>
      <c r="AM346" s="21">
        <f t="shared" si="155"/>
        <v>131.72499999999999</v>
      </c>
      <c r="AN346" s="41">
        <f t="shared" si="175"/>
        <v>2.5138358778625953</v>
      </c>
      <c r="AO346" s="41">
        <f t="shared" si="176"/>
        <v>0.36513019528815288</v>
      </c>
      <c r="AP346" s="41">
        <f t="shared" si="177"/>
        <v>0.69461497148188356</v>
      </c>
      <c r="AQ346" s="21">
        <f t="shared" si="178"/>
        <v>0.78749999999999998</v>
      </c>
      <c r="AR346" s="21">
        <f t="shared" si="179"/>
        <v>84.5</v>
      </c>
      <c r="AS346" s="21">
        <f t="shared" si="180"/>
        <v>85.287499999999994</v>
      </c>
      <c r="AT346" s="41">
        <f t="shared" si="181"/>
        <v>2.4712454671497843</v>
      </c>
      <c r="AU346" s="4"/>
    </row>
    <row r="347" spans="1:60" x14ac:dyDescent="0.25">
      <c r="B347">
        <v>32</v>
      </c>
      <c r="C347" s="8">
        <v>200</v>
      </c>
      <c r="D347" s="4">
        <v>300</v>
      </c>
      <c r="E347" s="8">
        <v>260</v>
      </c>
      <c r="F347">
        <f t="shared" si="184"/>
        <v>2600</v>
      </c>
      <c r="G347" s="8">
        <v>2300</v>
      </c>
      <c r="H347" s="4">
        <v>100</v>
      </c>
      <c r="I347">
        <f t="shared" si="185"/>
        <v>200</v>
      </c>
      <c r="J347" s="4">
        <v>100</v>
      </c>
      <c r="K347">
        <f t="shared" si="186"/>
        <v>200</v>
      </c>
      <c r="L347" s="4">
        <v>650</v>
      </c>
      <c r="M347" s="4">
        <f t="shared" si="157"/>
        <v>550</v>
      </c>
      <c r="N347" s="4">
        <v>3</v>
      </c>
      <c r="O347" s="4">
        <v>20</v>
      </c>
      <c r="P347" s="21">
        <f t="shared" si="167"/>
        <v>942.47779607693792</v>
      </c>
      <c r="Q347" s="29">
        <f t="shared" si="182"/>
        <v>1.8124573001479575E-2</v>
      </c>
      <c r="R347" s="21">
        <v>560</v>
      </c>
      <c r="S347" s="41">
        <f t="shared" si="153"/>
        <v>2.5</v>
      </c>
      <c r="T347" s="41">
        <f t="shared" si="154"/>
        <v>2.1153846153846154</v>
      </c>
      <c r="U347" s="4">
        <v>14</v>
      </c>
      <c r="V347" s="4">
        <v>46.8</v>
      </c>
      <c r="W347" s="4" t="s">
        <v>456</v>
      </c>
      <c r="X347" s="7">
        <f t="shared" si="183"/>
        <v>1</v>
      </c>
      <c r="Y347" s="4">
        <v>60</v>
      </c>
      <c r="Z347" s="8">
        <v>0.5</v>
      </c>
      <c r="AA347" s="41">
        <f t="shared" si="187"/>
        <v>0.92307692307692313</v>
      </c>
      <c r="AB347" s="21">
        <v>65</v>
      </c>
      <c r="AC347" s="4">
        <v>1100</v>
      </c>
      <c r="AD347" s="7">
        <f t="shared" si="171"/>
        <v>0.32500000000000001</v>
      </c>
      <c r="AE347" s="21">
        <f t="shared" si="166"/>
        <v>157500</v>
      </c>
      <c r="AF347" s="21">
        <f t="shared" si="188"/>
        <v>315</v>
      </c>
      <c r="AG347" s="41">
        <f t="shared" si="158"/>
        <v>3.0620192307692307</v>
      </c>
      <c r="AH347" s="45">
        <f t="shared" si="172"/>
        <v>0.44759475360308243</v>
      </c>
      <c r="AI347" s="45">
        <f t="shared" si="173"/>
        <v>0.84968763101345224</v>
      </c>
      <c r="AJ347" s="21">
        <v>157.5</v>
      </c>
      <c r="AK347" s="21">
        <f t="shared" si="174"/>
        <v>1.5</v>
      </c>
      <c r="AL347" s="21">
        <f t="shared" si="165"/>
        <v>1.7249999999999994</v>
      </c>
      <c r="AM347" s="21">
        <f t="shared" ref="AM347:AM410" si="189">AJ347+AL347</f>
        <v>159.22499999999999</v>
      </c>
      <c r="AN347" s="41">
        <f t="shared" si="175"/>
        <v>3.0620192307692307</v>
      </c>
      <c r="AO347" s="41">
        <f t="shared" si="176"/>
        <v>0.44759475360308243</v>
      </c>
      <c r="AP347" s="41">
        <f t="shared" si="177"/>
        <v>0.84968763101345224</v>
      </c>
      <c r="AQ347" s="21">
        <f t="shared" si="178"/>
        <v>0.78749999999999998</v>
      </c>
      <c r="AR347" s="21">
        <f t="shared" si="179"/>
        <v>102.375</v>
      </c>
      <c r="AS347" s="21">
        <f t="shared" si="180"/>
        <v>103.16249999999999</v>
      </c>
      <c r="AT347" s="41">
        <f t="shared" si="181"/>
        <v>2.4919381136997716</v>
      </c>
      <c r="AU347" s="4"/>
    </row>
    <row r="348" spans="1:60" x14ac:dyDescent="0.25">
      <c r="B348">
        <v>33</v>
      </c>
      <c r="C348" s="8">
        <v>200</v>
      </c>
      <c r="D348" s="4">
        <v>300</v>
      </c>
      <c r="E348" s="8">
        <v>262</v>
      </c>
      <c r="F348">
        <f t="shared" si="184"/>
        <v>2600</v>
      </c>
      <c r="G348" s="8">
        <v>2300</v>
      </c>
      <c r="H348" s="4">
        <v>100</v>
      </c>
      <c r="I348">
        <f t="shared" si="185"/>
        <v>200</v>
      </c>
      <c r="J348" s="4">
        <v>100</v>
      </c>
      <c r="K348">
        <f t="shared" si="186"/>
        <v>200</v>
      </c>
      <c r="L348" s="4">
        <v>650</v>
      </c>
      <c r="M348" s="4">
        <f t="shared" si="157"/>
        <v>550</v>
      </c>
      <c r="N348" s="4">
        <v>3</v>
      </c>
      <c r="O348" s="4">
        <v>16</v>
      </c>
      <c r="P348" s="21">
        <f t="shared" si="167"/>
        <v>603.18578948924028</v>
      </c>
      <c r="Q348" s="29">
        <f t="shared" si="182"/>
        <v>1.151117918872596E-2</v>
      </c>
      <c r="R348" s="21">
        <v>560</v>
      </c>
      <c r="S348" s="41">
        <f t="shared" si="153"/>
        <v>2.4809160305343512</v>
      </c>
      <c r="T348" s="41">
        <f t="shared" si="154"/>
        <v>2.0992366412213741</v>
      </c>
      <c r="U348" s="4">
        <v>14</v>
      </c>
      <c r="V348" s="4">
        <v>45.4</v>
      </c>
      <c r="W348" s="4" t="s">
        <v>456</v>
      </c>
      <c r="X348" s="7">
        <f t="shared" si="183"/>
        <v>1</v>
      </c>
      <c r="Y348" s="4">
        <v>50</v>
      </c>
      <c r="Z348" s="8">
        <v>0.5</v>
      </c>
      <c r="AA348" s="41">
        <f t="shared" si="187"/>
        <v>0.625</v>
      </c>
      <c r="AB348" s="21">
        <v>80</v>
      </c>
      <c r="AC348" s="4">
        <v>1100</v>
      </c>
      <c r="AD348" s="7">
        <f t="shared" si="171"/>
        <v>0.4</v>
      </c>
      <c r="AE348" s="21">
        <f t="shared" si="166"/>
        <v>147500</v>
      </c>
      <c r="AF348" s="21">
        <f t="shared" si="188"/>
        <v>295</v>
      </c>
      <c r="AG348" s="41">
        <f t="shared" si="158"/>
        <v>2.8478053435114505</v>
      </c>
      <c r="AH348" s="45">
        <f t="shared" si="172"/>
        <v>0.42265146060115549</v>
      </c>
      <c r="AI348" s="45">
        <f t="shared" si="173"/>
        <v>0.7982856999478759</v>
      </c>
      <c r="AJ348" s="21">
        <v>147.5</v>
      </c>
      <c r="AK348" s="21">
        <f t="shared" si="174"/>
        <v>1.5</v>
      </c>
      <c r="AL348" s="21">
        <f t="shared" si="165"/>
        <v>1.7249999999999994</v>
      </c>
      <c r="AM348" s="21">
        <f t="shared" si="189"/>
        <v>149.22499999999999</v>
      </c>
      <c r="AN348" s="41">
        <f t="shared" si="175"/>
        <v>2.8478053435114505</v>
      </c>
      <c r="AO348" s="41">
        <f t="shared" si="176"/>
        <v>0.42265146060115549</v>
      </c>
      <c r="AP348" s="41">
        <f t="shared" si="177"/>
        <v>0.7982856999478759</v>
      </c>
      <c r="AQ348" s="21">
        <f t="shared" si="178"/>
        <v>0.78749999999999998</v>
      </c>
      <c r="AR348" s="21">
        <f t="shared" si="179"/>
        <v>95.875</v>
      </c>
      <c r="AS348" s="21">
        <f t="shared" si="180"/>
        <v>96.662499999999994</v>
      </c>
      <c r="AT348" s="41">
        <f t="shared" si="181"/>
        <v>2.4723795590193096</v>
      </c>
      <c r="AU348" s="4"/>
    </row>
    <row r="349" spans="1:60" x14ac:dyDescent="0.25">
      <c r="B349">
        <v>41</v>
      </c>
      <c r="C349" s="8">
        <v>200</v>
      </c>
      <c r="D349" s="4">
        <v>350</v>
      </c>
      <c r="E349" s="8">
        <v>305</v>
      </c>
      <c r="F349">
        <f t="shared" si="184"/>
        <v>3550</v>
      </c>
      <c r="G349" s="8">
        <v>3250</v>
      </c>
      <c r="H349" s="4">
        <v>100</v>
      </c>
      <c r="I349">
        <f t="shared" si="185"/>
        <v>200</v>
      </c>
      <c r="J349" s="4">
        <v>100</v>
      </c>
      <c r="K349">
        <f t="shared" si="186"/>
        <v>200</v>
      </c>
      <c r="L349" s="4">
        <v>750</v>
      </c>
      <c r="M349" s="4">
        <f t="shared" si="157"/>
        <v>650</v>
      </c>
      <c r="N349" s="4">
        <v>2</v>
      </c>
      <c r="O349" s="4">
        <v>20</v>
      </c>
      <c r="P349" s="21">
        <f t="shared" si="167"/>
        <v>628.31853071795865</v>
      </c>
      <c r="Q349" s="29">
        <f t="shared" si="182"/>
        <v>1.0300303782261617E-2</v>
      </c>
      <c r="R349" s="21">
        <v>560</v>
      </c>
      <c r="S349" s="41">
        <f t="shared" si="153"/>
        <v>2.459016393442623</v>
      </c>
      <c r="T349" s="41">
        <f t="shared" si="154"/>
        <v>2.1311475409836067</v>
      </c>
      <c r="U349" s="4">
        <v>14</v>
      </c>
      <c r="V349" s="4">
        <v>34.4</v>
      </c>
      <c r="W349" s="4" t="s">
        <v>456</v>
      </c>
      <c r="X349" s="7">
        <f t="shared" si="183"/>
        <v>1</v>
      </c>
      <c r="Y349" s="4">
        <v>60</v>
      </c>
      <c r="Z349" s="8">
        <v>0.56999999999999995</v>
      </c>
      <c r="AA349" s="41">
        <f t="shared" si="187"/>
        <v>0.75</v>
      </c>
      <c r="AB349" s="21">
        <v>80</v>
      </c>
      <c r="AC349" s="4">
        <v>1100</v>
      </c>
      <c r="AD349" s="7">
        <f t="shared" si="171"/>
        <v>0.45599999999999996</v>
      </c>
      <c r="AE349" s="21">
        <f t="shared" si="166"/>
        <v>162000</v>
      </c>
      <c r="AF349" s="21">
        <f t="shared" si="188"/>
        <v>324</v>
      </c>
      <c r="AG349" s="41">
        <f t="shared" si="158"/>
        <v>2.7023565573770489</v>
      </c>
      <c r="AH349" s="45">
        <f t="shared" si="172"/>
        <v>0.46074796884051578</v>
      </c>
      <c r="AI349" s="45">
        <f t="shared" si="173"/>
        <v>0.83091481637196285</v>
      </c>
      <c r="AJ349" s="21">
        <v>162</v>
      </c>
      <c r="AK349" s="21">
        <f t="shared" si="174"/>
        <v>1.75</v>
      </c>
      <c r="AL349" s="21">
        <f t="shared" si="165"/>
        <v>2.84375</v>
      </c>
      <c r="AM349" s="21">
        <f t="shared" si="189"/>
        <v>164.84375</v>
      </c>
      <c r="AN349" s="41">
        <f t="shared" si="175"/>
        <v>2.7023565573770494</v>
      </c>
      <c r="AO349" s="41">
        <f t="shared" si="176"/>
        <v>0.46074796884051589</v>
      </c>
      <c r="AP349" s="41">
        <f t="shared" si="177"/>
        <v>0.83091481637196296</v>
      </c>
      <c r="AQ349" s="21">
        <f t="shared" si="178"/>
        <v>1.6209374999999999</v>
      </c>
      <c r="AR349" s="21">
        <f t="shared" si="179"/>
        <v>121.5</v>
      </c>
      <c r="AS349" s="21">
        <f t="shared" si="180"/>
        <v>123.1209375</v>
      </c>
      <c r="AT349" s="41">
        <f t="shared" si="181"/>
        <v>2.4488353663274025</v>
      </c>
      <c r="AU349" s="4"/>
    </row>
    <row r="350" spans="1:60" x14ac:dyDescent="0.25">
      <c r="A350" s="1"/>
      <c r="B350" s="1">
        <v>43</v>
      </c>
      <c r="C350" s="9">
        <v>200</v>
      </c>
      <c r="D350" s="10">
        <v>350</v>
      </c>
      <c r="E350" s="9">
        <v>305</v>
      </c>
      <c r="F350" s="1">
        <f t="shared" si="184"/>
        <v>3550</v>
      </c>
      <c r="G350" s="9">
        <v>3250</v>
      </c>
      <c r="H350" s="10">
        <v>100</v>
      </c>
      <c r="I350" s="1">
        <f t="shared" si="185"/>
        <v>200</v>
      </c>
      <c r="J350" s="10">
        <v>100</v>
      </c>
      <c r="K350" s="1">
        <f t="shared" si="186"/>
        <v>200</v>
      </c>
      <c r="L350" s="10">
        <v>750</v>
      </c>
      <c r="M350" s="10">
        <f t="shared" si="157"/>
        <v>650</v>
      </c>
      <c r="N350" s="10">
        <v>2</v>
      </c>
      <c r="O350" s="10">
        <v>20</v>
      </c>
      <c r="P350" s="27">
        <f t="shared" si="167"/>
        <v>628.31853071795865</v>
      </c>
      <c r="Q350" s="36">
        <f t="shared" si="182"/>
        <v>1.0300303782261617E-2</v>
      </c>
      <c r="R350" s="27">
        <v>560</v>
      </c>
      <c r="S350" s="48">
        <f t="shared" si="153"/>
        <v>2.459016393442623</v>
      </c>
      <c r="T350" s="48">
        <f t="shared" si="154"/>
        <v>2.1311475409836067</v>
      </c>
      <c r="U350" s="10">
        <v>14</v>
      </c>
      <c r="V350" s="10">
        <v>30.2</v>
      </c>
      <c r="W350" s="10" t="s">
        <v>456</v>
      </c>
      <c r="X350" s="7">
        <f t="shared" si="183"/>
        <v>1</v>
      </c>
      <c r="Y350" s="10">
        <v>60</v>
      </c>
      <c r="Z350" s="9">
        <v>0.38</v>
      </c>
      <c r="AA350" s="48">
        <f t="shared" si="187"/>
        <v>0.75</v>
      </c>
      <c r="AB350" s="27">
        <v>80</v>
      </c>
      <c r="AC350" s="10">
        <v>1100</v>
      </c>
      <c r="AD350" s="7">
        <f t="shared" si="171"/>
        <v>0.30399999999999999</v>
      </c>
      <c r="AE350" s="27">
        <f t="shared" si="166"/>
        <v>162000</v>
      </c>
      <c r="AF350" s="27">
        <f t="shared" si="188"/>
        <v>324</v>
      </c>
      <c r="AG350" s="48">
        <f t="shared" si="158"/>
        <v>2.7023565573770489</v>
      </c>
      <c r="AH350" s="45">
        <f t="shared" si="172"/>
        <v>0.49174412406212542</v>
      </c>
      <c r="AI350" s="45">
        <f t="shared" si="173"/>
        <v>0.86777473772230396</v>
      </c>
      <c r="AJ350" s="27">
        <v>162</v>
      </c>
      <c r="AK350" s="21">
        <f t="shared" si="174"/>
        <v>1.75</v>
      </c>
      <c r="AL350" s="27">
        <f t="shared" si="165"/>
        <v>2.84375</v>
      </c>
      <c r="AM350" s="27">
        <f t="shared" si="189"/>
        <v>164.84375</v>
      </c>
      <c r="AN350" s="41">
        <f t="shared" si="175"/>
        <v>2.7023565573770494</v>
      </c>
      <c r="AO350" s="41">
        <f t="shared" si="176"/>
        <v>0.49174412406212548</v>
      </c>
      <c r="AP350" s="41">
        <f t="shared" si="177"/>
        <v>0.86777473772230418</v>
      </c>
      <c r="AQ350" s="21">
        <f t="shared" si="178"/>
        <v>1.6209374999999999</v>
      </c>
      <c r="AR350" s="21">
        <f t="shared" si="179"/>
        <v>121.5</v>
      </c>
      <c r="AS350" s="21">
        <f t="shared" si="180"/>
        <v>123.1209375</v>
      </c>
      <c r="AT350" s="41">
        <f t="shared" si="181"/>
        <v>2.4488353663274025</v>
      </c>
      <c r="AU350" s="10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</row>
    <row r="351" spans="1:60" x14ac:dyDescent="0.25">
      <c r="A351" t="s">
        <v>39</v>
      </c>
      <c r="B351" t="s">
        <v>344</v>
      </c>
      <c r="C351" s="8">
        <v>175</v>
      </c>
      <c r="D351" s="4">
        <v>250</v>
      </c>
      <c r="E351" s="8">
        <v>210</v>
      </c>
      <c r="F351" s="4">
        <v>3400</v>
      </c>
      <c r="G351" s="8">
        <v>2800</v>
      </c>
      <c r="H351" s="4">
        <v>50</v>
      </c>
      <c r="I351" s="4">
        <f t="shared" si="185"/>
        <v>175</v>
      </c>
      <c r="J351" s="4">
        <v>50</v>
      </c>
      <c r="K351" s="4">
        <f t="shared" si="186"/>
        <v>175</v>
      </c>
      <c r="L351">
        <f>4.5*E351</f>
        <v>945</v>
      </c>
      <c r="M351">
        <f t="shared" si="157"/>
        <v>895</v>
      </c>
      <c r="N351" s="4">
        <v>3</v>
      </c>
      <c r="O351" s="4">
        <v>25</v>
      </c>
      <c r="P351" s="21">
        <f t="shared" si="167"/>
        <v>1472.6215563702156</v>
      </c>
      <c r="Q351" s="29">
        <f t="shared" si="182"/>
        <v>4.007133486721675E-2</v>
      </c>
      <c r="R351" s="21">
        <v>467.5</v>
      </c>
      <c r="S351" s="41">
        <f t="shared" si="153"/>
        <v>4.5</v>
      </c>
      <c r="T351" s="41">
        <f t="shared" si="154"/>
        <v>4.2619047619047619</v>
      </c>
      <c r="U351" s="4">
        <v>10</v>
      </c>
      <c r="V351">
        <f>0.82*44.4</f>
        <v>36.407999999999994</v>
      </c>
      <c r="W351" s="4" t="s">
        <v>457</v>
      </c>
      <c r="X351" s="7">
        <f t="shared" si="183"/>
        <v>0.75</v>
      </c>
      <c r="Y351" s="4">
        <v>50</v>
      </c>
      <c r="Z351" s="8">
        <v>0.4</v>
      </c>
      <c r="AA351">
        <v>0.5</v>
      </c>
      <c r="AB351" s="21">
        <f>Y351/AA351</f>
        <v>100</v>
      </c>
      <c r="AC351" s="4">
        <v>1050</v>
      </c>
      <c r="AD351" s="7">
        <f t="shared" si="171"/>
        <v>0.30000000000000004</v>
      </c>
      <c r="AE351" s="21">
        <f t="shared" si="166"/>
        <v>79500</v>
      </c>
      <c r="AF351" s="68">
        <f t="shared" si="188"/>
        <v>159</v>
      </c>
      <c r="AG351" s="41">
        <f t="shared" si="158"/>
        <v>2.2049319727891157</v>
      </c>
      <c r="AH351" s="45">
        <f t="shared" si="172"/>
        <v>0.36542376155108514</v>
      </c>
      <c r="AI351" s="45">
        <f t="shared" si="173"/>
        <v>0.66526741822461899</v>
      </c>
      <c r="AJ351" s="21">
        <v>79.5</v>
      </c>
      <c r="AK351" s="21">
        <f t="shared" si="174"/>
        <v>1.09375</v>
      </c>
      <c r="AL351" s="21">
        <f t="shared" si="165"/>
        <v>1.53125</v>
      </c>
      <c r="AM351" s="21">
        <f t="shared" si="189"/>
        <v>81.03125</v>
      </c>
      <c r="AN351" s="41">
        <f t="shared" si="175"/>
        <v>2.2049319727891157</v>
      </c>
      <c r="AO351" s="41">
        <f t="shared" si="176"/>
        <v>0.36542376155108514</v>
      </c>
      <c r="AP351" s="41">
        <f t="shared" si="177"/>
        <v>0.66526741822461899</v>
      </c>
      <c r="AQ351" s="21">
        <f t="shared" si="178"/>
        <v>0.90943945312500007</v>
      </c>
      <c r="AR351" s="21">
        <f t="shared" si="179"/>
        <v>75.127499999999998</v>
      </c>
      <c r="AS351" s="21">
        <f t="shared" si="180"/>
        <v>76.036939453125001</v>
      </c>
      <c r="AT351" s="41">
        <f t="shared" si="181"/>
        <v>4.4684077323563445</v>
      </c>
      <c r="AU351" s="4"/>
    </row>
    <row r="352" spans="1:60" x14ac:dyDescent="0.25">
      <c r="A352">
        <v>1985</v>
      </c>
      <c r="B352" t="s">
        <v>345</v>
      </c>
      <c r="C352" s="8">
        <v>175</v>
      </c>
      <c r="D352" s="4">
        <v>250</v>
      </c>
      <c r="E352" s="8">
        <v>210</v>
      </c>
      <c r="F352" s="4">
        <v>3400</v>
      </c>
      <c r="G352" s="8">
        <v>2800</v>
      </c>
      <c r="H352" s="4">
        <v>50</v>
      </c>
      <c r="I352" s="4">
        <f t="shared" si="185"/>
        <v>175</v>
      </c>
      <c r="J352" s="4">
        <v>50</v>
      </c>
      <c r="K352" s="4">
        <f t="shared" si="186"/>
        <v>175</v>
      </c>
      <c r="L352">
        <f>4.5*E352</f>
        <v>945</v>
      </c>
      <c r="M352">
        <f t="shared" si="157"/>
        <v>895</v>
      </c>
      <c r="N352" s="4">
        <v>3</v>
      </c>
      <c r="O352" s="4">
        <v>25</v>
      </c>
      <c r="P352" s="21">
        <f t="shared" si="167"/>
        <v>1472.6215563702156</v>
      </c>
      <c r="Q352" s="29">
        <f t="shared" si="182"/>
        <v>4.007133486721675E-2</v>
      </c>
      <c r="R352" s="21">
        <v>467.5</v>
      </c>
      <c r="S352" s="41">
        <f t="shared" si="153"/>
        <v>4.5</v>
      </c>
      <c r="T352" s="41">
        <f t="shared" si="154"/>
        <v>4.2619047619047619</v>
      </c>
      <c r="U352" s="4">
        <v>10</v>
      </c>
      <c r="V352">
        <f>0.82*46.8</f>
        <v>38.375999999999998</v>
      </c>
      <c r="W352" s="4" t="s">
        <v>457</v>
      </c>
      <c r="X352" s="7">
        <f t="shared" si="183"/>
        <v>0.75</v>
      </c>
      <c r="Y352" s="4">
        <v>50</v>
      </c>
      <c r="Z352" s="8">
        <v>0.8</v>
      </c>
      <c r="AA352">
        <v>0.5</v>
      </c>
      <c r="AB352" s="21">
        <f t="shared" ref="AB352:AB402" si="190">Y352/AA352</f>
        <v>100</v>
      </c>
      <c r="AC352" s="4">
        <v>1050</v>
      </c>
      <c r="AD352" s="7">
        <f t="shared" si="171"/>
        <v>0.60000000000000009</v>
      </c>
      <c r="AE352" s="21">
        <f t="shared" si="166"/>
        <v>114000</v>
      </c>
      <c r="AF352" s="68">
        <f t="shared" si="188"/>
        <v>228</v>
      </c>
      <c r="AG352" s="41">
        <f t="shared" si="158"/>
        <v>3.1437074829931975</v>
      </c>
      <c r="AH352" s="45">
        <f t="shared" si="172"/>
        <v>0.50747222348068011</v>
      </c>
      <c r="AI352" s="45">
        <f t="shared" si="173"/>
        <v>0.93201355141705833</v>
      </c>
      <c r="AJ352" s="21">
        <v>114</v>
      </c>
      <c r="AK352" s="21">
        <f t="shared" si="174"/>
        <v>1.09375</v>
      </c>
      <c r="AL352" s="21">
        <f t="shared" si="165"/>
        <v>1.53125</v>
      </c>
      <c r="AM352" s="21">
        <f t="shared" si="189"/>
        <v>115.53125</v>
      </c>
      <c r="AN352" s="41">
        <f t="shared" si="175"/>
        <v>3.1437074829931975</v>
      </c>
      <c r="AO352" s="41">
        <f t="shared" si="176"/>
        <v>0.50747222348068011</v>
      </c>
      <c r="AP352" s="41">
        <f t="shared" si="177"/>
        <v>0.93201355141705833</v>
      </c>
      <c r="AQ352" s="21">
        <f t="shared" si="178"/>
        <v>0.90943945312500007</v>
      </c>
      <c r="AR352" s="21">
        <f t="shared" si="179"/>
        <v>107.73</v>
      </c>
      <c r="AS352" s="21">
        <f t="shared" si="180"/>
        <v>108.63943945312501</v>
      </c>
      <c r="AT352" s="41">
        <f t="shared" si="181"/>
        <v>4.4778418312144987</v>
      </c>
      <c r="AU352" s="4"/>
    </row>
    <row r="353" spans="1:60" x14ac:dyDescent="0.25">
      <c r="B353" t="s">
        <v>346</v>
      </c>
      <c r="C353" s="8">
        <v>175</v>
      </c>
      <c r="D353" s="4">
        <v>250</v>
      </c>
      <c r="E353" s="8">
        <v>210</v>
      </c>
      <c r="F353" s="4">
        <v>3400</v>
      </c>
      <c r="G353" s="8">
        <v>2800</v>
      </c>
      <c r="H353" s="4">
        <v>50</v>
      </c>
      <c r="I353" s="4">
        <f t="shared" si="185"/>
        <v>175</v>
      </c>
      <c r="J353" s="4">
        <v>50</v>
      </c>
      <c r="K353" s="4">
        <f t="shared" si="186"/>
        <v>175</v>
      </c>
      <c r="L353">
        <f>4.5*E353</f>
        <v>945</v>
      </c>
      <c r="M353">
        <f t="shared" si="157"/>
        <v>895</v>
      </c>
      <c r="N353" s="4">
        <v>3</v>
      </c>
      <c r="O353" s="4">
        <v>25</v>
      </c>
      <c r="P353" s="21">
        <f t="shared" si="167"/>
        <v>1472.6215563702156</v>
      </c>
      <c r="Q353" s="29">
        <f t="shared" si="182"/>
        <v>4.007133486721675E-2</v>
      </c>
      <c r="R353" s="21">
        <v>467.5</v>
      </c>
      <c r="S353" s="41">
        <f t="shared" si="153"/>
        <v>4.5</v>
      </c>
      <c r="T353" s="41">
        <f t="shared" si="154"/>
        <v>4.2619047619047619</v>
      </c>
      <c r="U353" s="4">
        <v>10</v>
      </c>
      <c r="V353">
        <f>0.82*49.8</f>
        <v>40.835999999999999</v>
      </c>
      <c r="W353" s="4" t="s">
        <v>457</v>
      </c>
      <c r="X353" s="7">
        <f t="shared" si="183"/>
        <v>0.75</v>
      </c>
      <c r="Y353" s="4">
        <v>50</v>
      </c>
      <c r="Z353" s="8">
        <v>1.2</v>
      </c>
      <c r="AA353">
        <v>0.5</v>
      </c>
      <c r="AB353" s="21">
        <f t="shared" si="190"/>
        <v>100</v>
      </c>
      <c r="AC353" s="4">
        <v>1050</v>
      </c>
      <c r="AD353" s="7">
        <f t="shared" si="171"/>
        <v>0.89999999999999991</v>
      </c>
      <c r="AE353" s="21">
        <f t="shared" si="166"/>
        <v>115000</v>
      </c>
      <c r="AF353" s="68">
        <f t="shared" si="188"/>
        <v>230</v>
      </c>
      <c r="AG353" s="41">
        <f t="shared" si="158"/>
        <v>3.170918367346939</v>
      </c>
      <c r="AH353" s="45">
        <f t="shared" si="172"/>
        <v>0.49620765979496456</v>
      </c>
      <c r="AI353" s="45">
        <f t="shared" si="173"/>
        <v>0.92081134880021676</v>
      </c>
      <c r="AJ353" s="21">
        <v>115</v>
      </c>
      <c r="AK353" s="21">
        <f t="shared" si="174"/>
        <v>1.09375</v>
      </c>
      <c r="AL353" s="21">
        <f t="shared" si="165"/>
        <v>1.53125</v>
      </c>
      <c r="AM353" s="21">
        <f t="shared" si="189"/>
        <v>116.53125</v>
      </c>
      <c r="AN353" s="41">
        <f t="shared" si="175"/>
        <v>3.170918367346939</v>
      </c>
      <c r="AO353" s="41">
        <f t="shared" si="176"/>
        <v>0.49620765979496456</v>
      </c>
      <c r="AP353" s="41">
        <f t="shared" si="177"/>
        <v>0.92081134880021676</v>
      </c>
      <c r="AQ353" s="21">
        <f t="shared" si="178"/>
        <v>0.90943945312500007</v>
      </c>
      <c r="AR353" s="21">
        <f t="shared" si="179"/>
        <v>108.675</v>
      </c>
      <c r="AS353" s="21">
        <f t="shared" si="180"/>
        <v>109.584439453125</v>
      </c>
      <c r="AT353" s="41">
        <f t="shared" si="181"/>
        <v>4.4780319790828642</v>
      </c>
      <c r="AU353" s="4"/>
    </row>
    <row r="354" spans="1:60" x14ac:dyDescent="0.25">
      <c r="B354" t="s">
        <v>347</v>
      </c>
      <c r="C354" s="8">
        <v>175</v>
      </c>
      <c r="D354" s="4">
        <v>250</v>
      </c>
      <c r="E354" s="8">
        <v>210</v>
      </c>
      <c r="F354" s="4">
        <v>3400</v>
      </c>
      <c r="G354" s="8">
        <v>2800</v>
      </c>
      <c r="H354" s="4">
        <v>50</v>
      </c>
      <c r="I354" s="4">
        <f t="shared" si="185"/>
        <v>175</v>
      </c>
      <c r="J354" s="4">
        <v>50</v>
      </c>
      <c r="K354" s="4">
        <f t="shared" si="186"/>
        <v>175</v>
      </c>
      <c r="L354">
        <f>4.5*E354</f>
        <v>945</v>
      </c>
      <c r="M354">
        <f t="shared" si="157"/>
        <v>895</v>
      </c>
      <c r="N354" s="4">
        <v>3</v>
      </c>
      <c r="O354" s="4">
        <v>22</v>
      </c>
      <c r="P354" s="21">
        <f t="shared" si="167"/>
        <v>1140.398133253095</v>
      </c>
      <c r="Q354" s="29">
        <f t="shared" si="182"/>
        <v>3.1031241721172654E-2</v>
      </c>
      <c r="R354" s="21">
        <v>467.5</v>
      </c>
      <c r="S354" s="41">
        <f t="shared" si="153"/>
        <v>4.5</v>
      </c>
      <c r="T354" s="41">
        <f t="shared" si="154"/>
        <v>4.2619047619047619</v>
      </c>
      <c r="U354" s="4">
        <v>10</v>
      </c>
      <c r="V354">
        <f>0.82*47.7</f>
        <v>39.113999999999997</v>
      </c>
      <c r="W354" s="4" t="s">
        <v>457</v>
      </c>
      <c r="X354" s="7">
        <f t="shared" si="183"/>
        <v>0.75</v>
      </c>
      <c r="Y354" s="4">
        <v>50</v>
      </c>
      <c r="Z354" s="8">
        <v>0.8</v>
      </c>
      <c r="AA354">
        <v>0.5</v>
      </c>
      <c r="AB354" s="21">
        <f t="shared" si="190"/>
        <v>100</v>
      </c>
      <c r="AC354" s="4">
        <v>1050</v>
      </c>
      <c r="AD354" s="7">
        <f t="shared" si="171"/>
        <v>0.60000000000000009</v>
      </c>
      <c r="AE354" s="21">
        <f t="shared" si="166"/>
        <v>118200</v>
      </c>
      <c r="AF354" s="68">
        <f t="shared" si="188"/>
        <v>236.4</v>
      </c>
      <c r="AG354" s="41">
        <f t="shared" si="158"/>
        <v>3.2579931972789118</v>
      </c>
      <c r="AH354" s="45">
        <f t="shared" si="172"/>
        <v>0.5209356239116848</v>
      </c>
      <c r="AI354" s="45">
        <f t="shared" si="173"/>
        <v>0.95978235776506704</v>
      </c>
      <c r="AJ354" s="21">
        <v>118.2</v>
      </c>
      <c r="AK354" s="21">
        <f t="shared" si="174"/>
        <v>1.09375</v>
      </c>
      <c r="AL354" s="21">
        <f t="shared" si="165"/>
        <v>1.53125</v>
      </c>
      <c r="AM354" s="21">
        <f t="shared" si="189"/>
        <v>119.73125</v>
      </c>
      <c r="AN354" s="41">
        <f t="shared" si="175"/>
        <v>3.2579931972789113</v>
      </c>
      <c r="AO354" s="41">
        <f t="shared" si="176"/>
        <v>0.5209356239116848</v>
      </c>
      <c r="AP354" s="41">
        <f t="shared" si="177"/>
        <v>0.95978235776506693</v>
      </c>
      <c r="AQ354" s="21">
        <f t="shared" si="178"/>
        <v>0.90943945312500007</v>
      </c>
      <c r="AR354" s="21">
        <f t="shared" si="179"/>
        <v>111.699</v>
      </c>
      <c r="AS354" s="21">
        <f t="shared" si="180"/>
        <v>112.608439453125</v>
      </c>
      <c r="AT354" s="41">
        <f t="shared" si="181"/>
        <v>4.4786191078978961</v>
      </c>
      <c r="AU354" s="4"/>
    </row>
    <row r="355" spans="1:60" x14ac:dyDescent="0.25">
      <c r="A355" s="1"/>
      <c r="B355" s="1" t="s">
        <v>348</v>
      </c>
      <c r="C355" s="9">
        <v>175</v>
      </c>
      <c r="D355" s="10">
        <v>250</v>
      </c>
      <c r="E355" s="9">
        <v>210</v>
      </c>
      <c r="F355" s="10">
        <v>3400</v>
      </c>
      <c r="G355" s="9">
        <v>2800</v>
      </c>
      <c r="H355" s="10">
        <v>50</v>
      </c>
      <c r="I355" s="10">
        <f t="shared" si="185"/>
        <v>175</v>
      </c>
      <c r="J355" s="10">
        <v>50</v>
      </c>
      <c r="K355" s="10">
        <f t="shared" si="186"/>
        <v>175</v>
      </c>
      <c r="L355" s="1">
        <f>4.5*E355</f>
        <v>945</v>
      </c>
      <c r="M355" s="1">
        <f t="shared" si="157"/>
        <v>895</v>
      </c>
      <c r="N355" s="10">
        <v>3</v>
      </c>
      <c r="O355" s="10">
        <v>25</v>
      </c>
      <c r="P355" s="27">
        <f t="shared" si="167"/>
        <v>1472.6215563702156</v>
      </c>
      <c r="Q355" s="36">
        <f t="shared" si="182"/>
        <v>4.007133486721675E-2</v>
      </c>
      <c r="R355" s="27">
        <v>467.5</v>
      </c>
      <c r="S355" s="48">
        <f t="shared" si="153"/>
        <v>4.5</v>
      </c>
      <c r="T355" s="48">
        <f t="shared" si="154"/>
        <v>4.2619047619047619</v>
      </c>
      <c r="U355" s="10">
        <v>10</v>
      </c>
      <c r="V355" s="1">
        <f>0.82*47</f>
        <v>38.54</v>
      </c>
      <c r="W355" s="10" t="s">
        <v>457</v>
      </c>
      <c r="X355" s="7">
        <f t="shared" si="183"/>
        <v>0.75</v>
      </c>
      <c r="Y355" s="10">
        <v>50</v>
      </c>
      <c r="Z355" s="9">
        <v>0.8</v>
      </c>
      <c r="AA355" s="1">
        <v>0.5</v>
      </c>
      <c r="AB355" s="27">
        <f t="shared" si="190"/>
        <v>100</v>
      </c>
      <c r="AC355" s="10">
        <v>1050</v>
      </c>
      <c r="AD355" s="7">
        <f t="shared" si="171"/>
        <v>0.60000000000000009</v>
      </c>
      <c r="AE355" s="27">
        <f t="shared" si="166"/>
        <v>69000</v>
      </c>
      <c r="AF355" s="69">
        <f t="shared" si="188"/>
        <v>138</v>
      </c>
      <c r="AG355" s="48">
        <f t="shared" si="158"/>
        <v>1.9192176870748299</v>
      </c>
      <c r="AH355" s="45">
        <f t="shared" si="172"/>
        <v>0.3091493816522094</v>
      </c>
      <c r="AI355" s="45">
        <f t="shared" si="173"/>
        <v>0.56818138432608445</v>
      </c>
      <c r="AJ355" s="27">
        <v>69</v>
      </c>
      <c r="AK355" s="21">
        <f t="shared" si="174"/>
        <v>1.09375</v>
      </c>
      <c r="AL355" s="27">
        <f t="shared" si="165"/>
        <v>1.53125</v>
      </c>
      <c r="AM355" s="27">
        <f t="shared" si="189"/>
        <v>70.53125</v>
      </c>
      <c r="AN355" s="41">
        <f t="shared" si="175"/>
        <v>1.9192176870748299</v>
      </c>
      <c r="AO355" s="41">
        <f t="shared" si="176"/>
        <v>0.3091493816522094</v>
      </c>
      <c r="AP355" s="41">
        <f t="shared" si="177"/>
        <v>0.56818138432608445</v>
      </c>
      <c r="AQ355" s="21">
        <f t="shared" si="178"/>
        <v>0.90943945312500007</v>
      </c>
      <c r="AR355" s="21">
        <f t="shared" si="179"/>
        <v>65.204999999999998</v>
      </c>
      <c r="AS355" s="21">
        <f t="shared" si="180"/>
        <v>66.114439453125001</v>
      </c>
      <c r="AT355" s="41">
        <f t="shared" si="181"/>
        <v>4.4637045857332742</v>
      </c>
      <c r="AU355" s="10"/>
      <c r="AV355" s="1"/>
      <c r="AW355" s="1"/>
      <c r="AX355" s="1"/>
      <c r="AY355" s="1"/>
      <c r="BA355" s="1"/>
      <c r="BB355" s="1"/>
      <c r="BC355" s="1"/>
      <c r="BD355" s="1"/>
      <c r="BE355" s="1"/>
      <c r="BF355" s="1"/>
      <c r="BG355" s="1"/>
      <c r="BH355" s="1"/>
    </row>
    <row r="356" spans="1:60" x14ac:dyDescent="0.25">
      <c r="A356" t="s">
        <v>40</v>
      </c>
      <c r="B356" s="4" t="s">
        <v>349</v>
      </c>
      <c r="C356" s="8">
        <v>101</v>
      </c>
      <c r="D356" s="4">
        <v>152</v>
      </c>
      <c r="E356">
        <f t="shared" ref="E356:E398" si="191">5*25.4</f>
        <v>127</v>
      </c>
      <c r="F356" s="4">
        <v>1980</v>
      </c>
      <c r="G356" s="8">
        <v>1828.8</v>
      </c>
      <c r="H356" s="4">
        <v>100</v>
      </c>
      <c r="I356" s="4">
        <f t="shared" si="185"/>
        <v>101</v>
      </c>
      <c r="J356" s="4">
        <v>100</v>
      </c>
      <c r="K356" s="4">
        <f t="shared" si="186"/>
        <v>101</v>
      </c>
      <c r="L356" s="4">
        <f t="shared" ref="L356:L361" si="192">4.8*E356</f>
        <v>609.6</v>
      </c>
      <c r="M356" s="4">
        <f t="shared" si="157"/>
        <v>509.6</v>
      </c>
      <c r="N356" s="4">
        <v>2</v>
      </c>
      <c r="O356">
        <f t="shared" ref="O356:O398" si="193">5/8*25.4</f>
        <v>15.875</v>
      </c>
      <c r="P356" s="21">
        <f t="shared" si="167"/>
        <v>395.86521804492008</v>
      </c>
      <c r="Q356" s="29">
        <f t="shared" si="182"/>
        <v>3.0861870900827947E-2</v>
      </c>
      <c r="R356" s="21">
        <f t="shared" ref="R356:R398" si="194">40000/145</f>
        <v>275.86206896551727</v>
      </c>
      <c r="S356" s="41">
        <f t="shared" si="153"/>
        <v>4.8</v>
      </c>
      <c r="T356" s="41">
        <f t="shared" si="154"/>
        <v>4.0125984251968507</v>
      </c>
      <c r="U356" s="4">
        <v>2</v>
      </c>
      <c r="V356">
        <v>33.22</v>
      </c>
      <c r="W356" s="4" t="s">
        <v>461</v>
      </c>
      <c r="X356" s="7">
        <v>0.5</v>
      </c>
      <c r="Y356" s="4">
        <v>25.4</v>
      </c>
      <c r="Z356" s="8">
        <v>0.22</v>
      </c>
      <c r="AA356" s="4">
        <v>0.25</v>
      </c>
      <c r="AB356" s="21">
        <f t="shared" si="190"/>
        <v>101.6</v>
      </c>
      <c r="AC356" s="4">
        <v>1100</v>
      </c>
      <c r="AD356" s="7">
        <f t="shared" si="171"/>
        <v>0.11176</v>
      </c>
      <c r="AE356" s="21">
        <f t="shared" si="166"/>
        <v>27865.551724137931</v>
      </c>
      <c r="AF356" s="21">
        <f t="shared" si="188"/>
        <v>55.73110344827586</v>
      </c>
      <c r="AG356" s="41">
        <f>315/145</f>
        <v>2.1724137931034484</v>
      </c>
      <c r="AH356" s="45">
        <f t="shared" si="172"/>
        <v>0.37691440653214409</v>
      </c>
      <c r="AI356" s="45">
        <f t="shared" si="173"/>
        <v>0.67578623615217115</v>
      </c>
      <c r="AJ356" s="21">
        <f>AG356*C356*E356/1000</f>
        <v>27.86555172413793</v>
      </c>
      <c r="AK356" s="21">
        <f t="shared" si="174"/>
        <v>0.38380000000000003</v>
      </c>
      <c r="AL356" s="21">
        <f t="shared" si="165"/>
        <v>0.35094671999999999</v>
      </c>
      <c r="AM356" s="21">
        <f t="shared" si="189"/>
        <v>28.21649844413793</v>
      </c>
      <c r="AN356" s="41">
        <f t="shared" si="175"/>
        <v>2.1997737931034482</v>
      </c>
      <c r="AO356" s="41">
        <f t="shared" si="176"/>
        <v>0.38166137425784036</v>
      </c>
      <c r="AP356" s="41">
        <f t="shared" si="177"/>
        <v>0.68429728109205334</v>
      </c>
      <c r="AQ356" s="21">
        <f t="shared" si="178"/>
        <v>0.14152796942400003</v>
      </c>
      <c r="AR356" s="21">
        <f t="shared" si="179"/>
        <v>16.986840331034482</v>
      </c>
      <c r="AS356" s="21">
        <f t="shared" si="180"/>
        <v>17.128368300458483</v>
      </c>
      <c r="AT356" s="41">
        <f t="shared" si="181"/>
        <v>4.7797937083831554</v>
      </c>
      <c r="AU356" s="4"/>
      <c r="AZ356" s="19"/>
    </row>
    <row r="357" spans="1:60" x14ac:dyDescent="0.25">
      <c r="A357">
        <v>1972</v>
      </c>
      <c r="B357" s="4" t="s">
        <v>350</v>
      </c>
      <c r="C357" s="8">
        <v>101</v>
      </c>
      <c r="D357" s="4">
        <v>152</v>
      </c>
      <c r="E357">
        <f t="shared" si="191"/>
        <v>127</v>
      </c>
      <c r="F357" s="4">
        <v>1980</v>
      </c>
      <c r="G357" s="8">
        <v>1828.8</v>
      </c>
      <c r="H357" s="4">
        <v>100</v>
      </c>
      <c r="I357" s="4">
        <f t="shared" si="185"/>
        <v>101</v>
      </c>
      <c r="J357" s="4">
        <v>100</v>
      </c>
      <c r="K357" s="4">
        <f t="shared" si="186"/>
        <v>101</v>
      </c>
      <c r="L357" s="4">
        <f t="shared" si="192"/>
        <v>609.6</v>
      </c>
      <c r="M357" s="4">
        <f t="shared" si="157"/>
        <v>509.6</v>
      </c>
      <c r="N357" s="4">
        <v>2</v>
      </c>
      <c r="O357">
        <f t="shared" si="193"/>
        <v>15.875</v>
      </c>
      <c r="P357" s="21">
        <f t="shared" si="167"/>
        <v>395.86521804492008</v>
      </c>
      <c r="Q357" s="29">
        <f t="shared" si="182"/>
        <v>3.0861870900827947E-2</v>
      </c>
      <c r="R357" s="21">
        <f t="shared" si="194"/>
        <v>275.86206896551727</v>
      </c>
      <c r="S357" s="41">
        <f t="shared" si="153"/>
        <v>4.8</v>
      </c>
      <c r="T357" s="41">
        <f t="shared" si="154"/>
        <v>4.0125984251968507</v>
      </c>
      <c r="U357" s="4">
        <v>2</v>
      </c>
      <c r="V357">
        <v>33.22</v>
      </c>
      <c r="W357" s="4" t="s">
        <v>461</v>
      </c>
      <c r="X357" s="7">
        <v>0.5</v>
      </c>
      <c r="Y357" s="4">
        <v>25.4</v>
      </c>
      <c r="Z357" s="8">
        <v>0.22</v>
      </c>
      <c r="AA357" s="4">
        <v>0.25</v>
      </c>
      <c r="AB357" s="21">
        <f t="shared" si="190"/>
        <v>101.6</v>
      </c>
      <c r="AC357" s="4">
        <v>1100</v>
      </c>
      <c r="AD357" s="7">
        <f t="shared" si="171"/>
        <v>0.11176</v>
      </c>
      <c r="AE357" s="21">
        <f t="shared" si="166"/>
        <v>27423.241379310344</v>
      </c>
      <c r="AF357" s="21">
        <f t="shared" si="188"/>
        <v>54.846482758620688</v>
      </c>
      <c r="AG357" s="41">
        <f>310/145</f>
        <v>2.1379310344827585</v>
      </c>
      <c r="AH357" s="45">
        <f t="shared" si="172"/>
        <v>0.37093163817449099</v>
      </c>
      <c r="AI357" s="45">
        <f t="shared" si="173"/>
        <v>0.66505947049896197</v>
      </c>
      <c r="AJ357" s="21">
        <f t="shared" ref="AJ357:AJ398" si="195">AG357*C357*E357/1000</f>
        <v>27.423241379310344</v>
      </c>
      <c r="AK357" s="21">
        <f t="shared" si="174"/>
        <v>0.38380000000000003</v>
      </c>
      <c r="AL357" s="21">
        <f t="shared" si="165"/>
        <v>0.35094671999999999</v>
      </c>
      <c r="AM357" s="21">
        <f t="shared" si="189"/>
        <v>27.774188099310344</v>
      </c>
      <c r="AN357" s="41">
        <f t="shared" si="175"/>
        <v>2.1652910344827587</v>
      </c>
      <c r="AO357" s="41">
        <f t="shared" si="176"/>
        <v>0.37567860590018731</v>
      </c>
      <c r="AP357" s="41">
        <f t="shared" si="177"/>
        <v>0.67357051543884428</v>
      </c>
      <c r="AQ357" s="21">
        <f t="shared" si="178"/>
        <v>0.14152796942400003</v>
      </c>
      <c r="AR357" s="21">
        <f t="shared" si="179"/>
        <v>16.717207944827589</v>
      </c>
      <c r="AS357" s="21">
        <f t="shared" si="180"/>
        <v>16.858735914251589</v>
      </c>
      <c r="AT357" s="41">
        <f t="shared" si="181"/>
        <v>4.7794719185335026</v>
      </c>
      <c r="AU357" s="4"/>
      <c r="AZ357" s="4"/>
    </row>
    <row r="358" spans="1:60" x14ac:dyDescent="0.25">
      <c r="B358" s="4" t="s">
        <v>351</v>
      </c>
      <c r="C358" s="8">
        <v>101</v>
      </c>
      <c r="D358" s="4">
        <v>152</v>
      </c>
      <c r="E358">
        <f t="shared" si="191"/>
        <v>127</v>
      </c>
      <c r="F358" s="4">
        <v>1980</v>
      </c>
      <c r="G358" s="8">
        <v>1828.8</v>
      </c>
      <c r="H358" s="4">
        <v>100</v>
      </c>
      <c r="I358" s="4">
        <f t="shared" si="185"/>
        <v>101</v>
      </c>
      <c r="J358" s="4">
        <v>100</v>
      </c>
      <c r="K358" s="4">
        <f t="shared" si="186"/>
        <v>101</v>
      </c>
      <c r="L358" s="4">
        <f t="shared" si="192"/>
        <v>609.6</v>
      </c>
      <c r="M358" s="4">
        <f t="shared" si="157"/>
        <v>509.6</v>
      </c>
      <c r="N358" s="4">
        <v>2</v>
      </c>
      <c r="O358">
        <f t="shared" si="193"/>
        <v>15.875</v>
      </c>
      <c r="P358" s="21">
        <f t="shared" si="167"/>
        <v>395.86521804492008</v>
      </c>
      <c r="Q358" s="29">
        <f t="shared" si="182"/>
        <v>3.0861870900827947E-2</v>
      </c>
      <c r="R358" s="21">
        <f t="shared" si="194"/>
        <v>275.86206896551727</v>
      </c>
      <c r="S358" s="41">
        <f t="shared" si="153"/>
        <v>4.8</v>
      </c>
      <c r="T358" s="41">
        <f t="shared" si="154"/>
        <v>4.0125984251968507</v>
      </c>
      <c r="U358" s="4">
        <v>2</v>
      </c>
      <c r="V358">
        <v>33.22</v>
      </c>
      <c r="W358" s="4" t="s">
        <v>461</v>
      </c>
      <c r="X358" s="7">
        <v>0.5</v>
      </c>
      <c r="Y358" s="4">
        <v>25.4</v>
      </c>
      <c r="Z358" s="8">
        <v>0.22</v>
      </c>
      <c r="AA358" s="4">
        <v>0.25</v>
      </c>
      <c r="AB358" s="21">
        <f t="shared" si="190"/>
        <v>101.6</v>
      </c>
      <c r="AC358" s="4">
        <v>1100</v>
      </c>
      <c r="AD358" s="7">
        <f t="shared" si="171"/>
        <v>0.11176</v>
      </c>
      <c r="AE358" s="21">
        <f t="shared" si="166"/>
        <v>26892.468965517244</v>
      </c>
      <c r="AF358" s="21">
        <f t="shared" si="188"/>
        <v>53.784937931034491</v>
      </c>
      <c r="AG358" s="41">
        <f>304/145</f>
        <v>2.0965517241379312</v>
      </c>
      <c r="AH358" s="45">
        <f t="shared" si="172"/>
        <v>0.36375231614530734</v>
      </c>
      <c r="AI358" s="45">
        <f t="shared" si="173"/>
        <v>0.65218735171511122</v>
      </c>
      <c r="AJ358" s="21">
        <f t="shared" si="195"/>
        <v>26.892468965517246</v>
      </c>
      <c r="AK358" s="21">
        <f t="shared" si="174"/>
        <v>0.38380000000000003</v>
      </c>
      <c r="AL358" s="21">
        <f t="shared" si="165"/>
        <v>0.35094671999999999</v>
      </c>
      <c r="AM358" s="21">
        <f t="shared" si="189"/>
        <v>27.243415685517245</v>
      </c>
      <c r="AN358" s="41">
        <f t="shared" si="175"/>
        <v>2.1239117241379311</v>
      </c>
      <c r="AO358" s="41">
        <f t="shared" si="176"/>
        <v>0.36849928387100356</v>
      </c>
      <c r="AP358" s="41">
        <f t="shared" si="177"/>
        <v>0.66069839665499341</v>
      </c>
      <c r="AQ358" s="21">
        <f t="shared" si="178"/>
        <v>0.14152796942400003</v>
      </c>
      <c r="AR358" s="21">
        <f t="shared" si="179"/>
        <v>16.393649081379312</v>
      </c>
      <c r="AS358" s="21">
        <f t="shared" si="180"/>
        <v>16.535177050803313</v>
      </c>
      <c r="AT358" s="41">
        <f t="shared" si="181"/>
        <v>4.7790719782515527</v>
      </c>
      <c r="AU358" s="4"/>
    </row>
    <row r="359" spans="1:60" x14ac:dyDescent="0.25">
      <c r="B359" s="4" t="s">
        <v>352</v>
      </c>
      <c r="C359" s="8">
        <v>101</v>
      </c>
      <c r="D359" s="4">
        <v>152</v>
      </c>
      <c r="E359">
        <f t="shared" si="191"/>
        <v>127</v>
      </c>
      <c r="F359" s="4">
        <v>1980</v>
      </c>
      <c r="G359" s="8">
        <v>1828.8</v>
      </c>
      <c r="H359" s="4">
        <v>100</v>
      </c>
      <c r="I359" s="4">
        <f t="shared" si="185"/>
        <v>101</v>
      </c>
      <c r="J359" s="4">
        <v>100</v>
      </c>
      <c r="K359" s="4">
        <f t="shared" si="186"/>
        <v>101</v>
      </c>
      <c r="L359" s="4">
        <f t="shared" si="192"/>
        <v>609.6</v>
      </c>
      <c r="M359" s="4">
        <f t="shared" si="157"/>
        <v>509.6</v>
      </c>
      <c r="N359" s="4">
        <v>2</v>
      </c>
      <c r="O359">
        <f t="shared" si="193"/>
        <v>15.875</v>
      </c>
      <c r="P359" s="21">
        <f t="shared" si="167"/>
        <v>395.86521804492008</v>
      </c>
      <c r="Q359" s="29">
        <f t="shared" si="182"/>
        <v>3.0861870900827947E-2</v>
      </c>
      <c r="R359" s="21">
        <f t="shared" si="194"/>
        <v>275.86206896551727</v>
      </c>
      <c r="S359" s="41">
        <f t="shared" si="153"/>
        <v>4.8</v>
      </c>
      <c r="T359" s="41">
        <f t="shared" si="154"/>
        <v>4.0125984251968507</v>
      </c>
      <c r="U359" s="4">
        <v>2</v>
      </c>
      <c r="V359">
        <v>33.22</v>
      </c>
      <c r="W359" s="4" t="s">
        <v>457</v>
      </c>
      <c r="X359" s="7">
        <f t="shared" si="183"/>
        <v>0.75</v>
      </c>
      <c r="Y359">
        <f>3/4*25.4</f>
        <v>19.049999999999997</v>
      </c>
      <c r="Z359" s="8">
        <v>0.22</v>
      </c>
      <c r="AA359" s="4">
        <v>0.41</v>
      </c>
      <c r="AB359" s="21">
        <f t="shared" si="190"/>
        <v>46.463414634146339</v>
      </c>
      <c r="AC359" s="4">
        <v>1100</v>
      </c>
      <c r="AD359" s="7">
        <f t="shared" si="171"/>
        <v>7.6664634146341462E-2</v>
      </c>
      <c r="AE359" s="21">
        <f t="shared" si="166"/>
        <v>28130.937931034481</v>
      </c>
      <c r="AF359" s="21">
        <f t="shared" si="188"/>
        <v>56.261875862068962</v>
      </c>
      <c r="AG359" s="41">
        <f>318/145</f>
        <v>2.193103448275862</v>
      </c>
      <c r="AH359" s="45">
        <f t="shared" si="172"/>
        <v>0.38050406754673594</v>
      </c>
      <c r="AI359" s="45">
        <f t="shared" si="173"/>
        <v>0.68222229554409652</v>
      </c>
      <c r="AJ359" s="21">
        <f t="shared" si="195"/>
        <v>28.130937931034481</v>
      </c>
      <c r="AK359" s="21">
        <f t="shared" si="174"/>
        <v>0.38380000000000003</v>
      </c>
      <c r="AL359" s="21">
        <f t="shared" si="165"/>
        <v>0.35094671999999999</v>
      </c>
      <c r="AM359" s="21">
        <f t="shared" si="189"/>
        <v>28.481884651034481</v>
      </c>
      <c r="AN359" s="41">
        <f t="shared" si="175"/>
        <v>2.2204634482758618</v>
      </c>
      <c r="AO359" s="41">
        <f t="shared" si="176"/>
        <v>0.38525103527243215</v>
      </c>
      <c r="AP359" s="41">
        <f t="shared" si="177"/>
        <v>0.69073334048397872</v>
      </c>
      <c r="AQ359" s="21">
        <f t="shared" si="178"/>
        <v>0.14152796942400003</v>
      </c>
      <c r="AR359" s="21">
        <f t="shared" si="179"/>
        <v>17.148619762758617</v>
      </c>
      <c r="AS359" s="21">
        <f t="shared" si="180"/>
        <v>17.290147732182618</v>
      </c>
      <c r="AT359" s="41">
        <f t="shared" si="181"/>
        <v>4.7799819849369474</v>
      </c>
      <c r="AU359" s="4"/>
    </row>
    <row r="360" spans="1:60" x14ac:dyDescent="0.25">
      <c r="B360" s="4" t="s">
        <v>353</v>
      </c>
      <c r="C360" s="8">
        <v>101</v>
      </c>
      <c r="D360" s="4">
        <v>152</v>
      </c>
      <c r="E360">
        <f t="shared" si="191"/>
        <v>127</v>
      </c>
      <c r="F360" s="4">
        <v>1980</v>
      </c>
      <c r="G360" s="8">
        <v>1828.8</v>
      </c>
      <c r="H360" s="4">
        <v>100</v>
      </c>
      <c r="I360" s="4">
        <f t="shared" si="185"/>
        <v>101</v>
      </c>
      <c r="J360" s="4">
        <v>100</v>
      </c>
      <c r="K360" s="4">
        <f t="shared" si="186"/>
        <v>101</v>
      </c>
      <c r="L360" s="4">
        <f t="shared" si="192"/>
        <v>609.6</v>
      </c>
      <c r="M360" s="4">
        <f t="shared" si="157"/>
        <v>509.6</v>
      </c>
      <c r="N360" s="4">
        <v>2</v>
      </c>
      <c r="O360">
        <f t="shared" si="193"/>
        <v>15.875</v>
      </c>
      <c r="P360" s="21">
        <f t="shared" si="167"/>
        <v>395.86521804492008</v>
      </c>
      <c r="Q360" s="29">
        <f t="shared" si="182"/>
        <v>3.0861870900827947E-2</v>
      </c>
      <c r="R360" s="21">
        <f t="shared" si="194"/>
        <v>275.86206896551727</v>
      </c>
      <c r="S360" s="41">
        <f t="shared" ref="S360:S424" si="196">L360/E360</f>
        <v>4.8</v>
      </c>
      <c r="T360" s="41">
        <f t="shared" ref="T360:T424" si="197">M360/E360</f>
        <v>4.0125984251968507</v>
      </c>
      <c r="U360" s="4">
        <v>2</v>
      </c>
      <c r="V360">
        <v>33.22</v>
      </c>
      <c r="W360" s="4" t="s">
        <v>457</v>
      </c>
      <c r="X360" s="7">
        <f t="shared" si="183"/>
        <v>0.75</v>
      </c>
      <c r="Y360">
        <f>3/4*25.4</f>
        <v>19.049999999999997</v>
      </c>
      <c r="Z360" s="8">
        <v>0.22</v>
      </c>
      <c r="AA360" s="4">
        <v>0.41</v>
      </c>
      <c r="AB360" s="21">
        <f t="shared" si="190"/>
        <v>46.463414634146339</v>
      </c>
      <c r="AC360" s="4">
        <v>1100</v>
      </c>
      <c r="AD360" s="7">
        <f t="shared" si="171"/>
        <v>7.6664634146341462E-2</v>
      </c>
      <c r="AE360" s="21">
        <f t="shared" si="166"/>
        <v>28130.937931034481</v>
      </c>
      <c r="AF360" s="21">
        <f t="shared" si="188"/>
        <v>56.261875862068962</v>
      </c>
      <c r="AG360" s="41">
        <f>318/145</f>
        <v>2.193103448275862</v>
      </c>
      <c r="AH360" s="45">
        <f t="shared" si="172"/>
        <v>0.38050406754673594</v>
      </c>
      <c r="AI360" s="45">
        <f t="shared" si="173"/>
        <v>0.68222229554409652</v>
      </c>
      <c r="AJ360" s="21">
        <f t="shared" si="195"/>
        <v>28.130937931034481</v>
      </c>
      <c r="AK360" s="21">
        <f t="shared" si="174"/>
        <v>0.38380000000000003</v>
      </c>
      <c r="AL360" s="21">
        <f t="shared" si="165"/>
        <v>0.35094671999999999</v>
      </c>
      <c r="AM360" s="21">
        <f t="shared" si="189"/>
        <v>28.481884651034481</v>
      </c>
      <c r="AN360" s="41">
        <f t="shared" si="175"/>
        <v>2.2204634482758618</v>
      </c>
      <c r="AO360" s="41">
        <f t="shared" si="176"/>
        <v>0.38525103527243215</v>
      </c>
      <c r="AP360" s="41">
        <f t="shared" si="177"/>
        <v>0.69073334048397872</v>
      </c>
      <c r="AQ360" s="21">
        <f t="shared" si="178"/>
        <v>0.14152796942400003</v>
      </c>
      <c r="AR360" s="21">
        <f t="shared" si="179"/>
        <v>17.148619762758617</v>
      </c>
      <c r="AS360" s="21">
        <f t="shared" si="180"/>
        <v>17.290147732182618</v>
      </c>
      <c r="AT360" s="41">
        <f t="shared" si="181"/>
        <v>4.7799819849369474</v>
      </c>
      <c r="AU360" s="4"/>
    </row>
    <row r="361" spans="1:60" x14ac:dyDescent="0.25">
      <c r="B361" s="4" t="s">
        <v>354</v>
      </c>
      <c r="C361" s="8">
        <v>101</v>
      </c>
      <c r="D361" s="4">
        <v>152</v>
      </c>
      <c r="E361">
        <f t="shared" si="191"/>
        <v>127</v>
      </c>
      <c r="F361" s="4">
        <v>1980</v>
      </c>
      <c r="G361" s="8">
        <v>1828.8</v>
      </c>
      <c r="H361" s="4">
        <v>100</v>
      </c>
      <c r="I361" s="4">
        <f t="shared" si="185"/>
        <v>101</v>
      </c>
      <c r="J361" s="4">
        <v>100</v>
      </c>
      <c r="K361" s="4">
        <f t="shared" si="186"/>
        <v>101</v>
      </c>
      <c r="L361" s="4">
        <f t="shared" si="192"/>
        <v>609.6</v>
      </c>
      <c r="M361" s="4">
        <f t="shared" si="157"/>
        <v>509.6</v>
      </c>
      <c r="N361" s="4">
        <v>2</v>
      </c>
      <c r="O361">
        <f t="shared" si="193"/>
        <v>15.875</v>
      </c>
      <c r="P361" s="21">
        <f t="shared" si="167"/>
        <v>395.86521804492008</v>
      </c>
      <c r="Q361" s="29">
        <f t="shared" si="182"/>
        <v>3.0861870900827947E-2</v>
      </c>
      <c r="R361" s="21">
        <f t="shared" si="194"/>
        <v>275.86206896551727</v>
      </c>
      <c r="S361" s="41">
        <f t="shared" si="196"/>
        <v>4.8</v>
      </c>
      <c r="T361" s="41">
        <f t="shared" si="197"/>
        <v>4.0125984251968507</v>
      </c>
      <c r="U361" s="4">
        <v>2</v>
      </c>
      <c r="V361">
        <v>33.22</v>
      </c>
      <c r="W361" s="4" t="s">
        <v>457</v>
      </c>
      <c r="X361" s="7">
        <f t="shared" si="183"/>
        <v>0.75</v>
      </c>
      <c r="Y361">
        <f>3/4*25.4</f>
        <v>19.049999999999997</v>
      </c>
      <c r="Z361" s="8">
        <v>0.22</v>
      </c>
      <c r="AA361" s="4">
        <v>0.41</v>
      </c>
      <c r="AB361" s="21">
        <f t="shared" si="190"/>
        <v>46.463414634146339</v>
      </c>
      <c r="AC361" s="4">
        <v>1100</v>
      </c>
      <c r="AD361" s="7">
        <f t="shared" si="171"/>
        <v>7.6664634146341462E-2</v>
      </c>
      <c r="AE361" s="21">
        <f t="shared" si="166"/>
        <v>26361.696551724141</v>
      </c>
      <c r="AF361" s="21">
        <f t="shared" si="188"/>
        <v>52.723393103448281</v>
      </c>
      <c r="AG361" s="41">
        <f>298/145</f>
        <v>2.0551724137931036</v>
      </c>
      <c r="AH361" s="45">
        <f t="shared" si="172"/>
        <v>0.35657299411612364</v>
      </c>
      <c r="AI361" s="45">
        <f t="shared" si="173"/>
        <v>0.63931523293126036</v>
      </c>
      <c r="AJ361" s="21">
        <f t="shared" si="195"/>
        <v>26.36169655172414</v>
      </c>
      <c r="AK361" s="21">
        <f t="shared" si="174"/>
        <v>0.38380000000000003</v>
      </c>
      <c r="AL361" s="21">
        <f t="shared" si="165"/>
        <v>0.35094671999999999</v>
      </c>
      <c r="AM361" s="21">
        <f t="shared" si="189"/>
        <v>26.71264327172414</v>
      </c>
      <c r="AN361" s="41">
        <f t="shared" si="175"/>
        <v>2.0825324137931038</v>
      </c>
      <c r="AO361" s="41">
        <f t="shared" si="176"/>
        <v>0.36131996184181991</v>
      </c>
      <c r="AP361" s="41">
        <f t="shared" si="177"/>
        <v>0.64782627787114266</v>
      </c>
      <c r="AQ361" s="21">
        <f t="shared" si="178"/>
        <v>0.14152796942400003</v>
      </c>
      <c r="AR361" s="21">
        <f t="shared" si="179"/>
        <v>16.070090217931035</v>
      </c>
      <c r="AS361" s="21">
        <f t="shared" si="180"/>
        <v>16.211618187355036</v>
      </c>
      <c r="AT361" s="41">
        <f t="shared" si="181"/>
        <v>4.7786561445766012</v>
      </c>
      <c r="AU361" s="4"/>
    </row>
    <row r="362" spans="1:60" x14ac:dyDescent="0.25">
      <c r="B362" s="4" t="s">
        <v>355</v>
      </c>
      <c r="C362" s="8">
        <v>101</v>
      </c>
      <c r="D362" s="4">
        <v>152</v>
      </c>
      <c r="E362">
        <f t="shared" si="191"/>
        <v>127</v>
      </c>
      <c r="F362" s="4">
        <v>1980</v>
      </c>
      <c r="G362" s="8">
        <v>1828.8</v>
      </c>
      <c r="H362" s="4">
        <v>100</v>
      </c>
      <c r="I362" s="4">
        <f t="shared" si="185"/>
        <v>101</v>
      </c>
      <c r="J362" s="4">
        <v>100</v>
      </c>
      <c r="K362" s="4">
        <f t="shared" si="186"/>
        <v>101</v>
      </c>
      <c r="L362" s="4">
        <f>4.8*E362</f>
        <v>609.6</v>
      </c>
      <c r="M362" s="4">
        <f t="shared" si="157"/>
        <v>509.6</v>
      </c>
      <c r="N362" s="4">
        <v>2</v>
      </c>
      <c r="O362">
        <f t="shared" si="193"/>
        <v>15.875</v>
      </c>
      <c r="P362" s="21">
        <f t="shared" si="167"/>
        <v>395.86521804492008</v>
      </c>
      <c r="Q362" s="29">
        <f t="shared" si="182"/>
        <v>3.0861870900827947E-2</v>
      </c>
      <c r="R362" s="21">
        <f t="shared" si="194"/>
        <v>275.86206896551727</v>
      </c>
      <c r="S362" s="41">
        <f t="shared" si="196"/>
        <v>4.8</v>
      </c>
      <c r="T362" s="41">
        <f t="shared" si="197"/>
        <v>4.0125984251968507</v>
      </c>
      <c r="U362" s="4">
        <v>2</v>
      </c>
      <c r="V362">
        <v>33.22</v>
      </c>
      <c r="W362" s="4" t="s">
        <v>462</v>
      </c>
      <c r="X362" s="7">
        <v>0.5</v>
      </c>
      <c r="Y362">
        <v>25.4</v>
      </c>
      <c r="Z362" s="8">
        <v>0.22</v>
      </c>
      <c r="AA362" s="4">
        <v>0.25</v>
      </c>
      <c r="AB362" s="21">
        <f t="shared" si="190"/>
        <v>101.6</v>
      </c>
      <c r="AC362" s="4">
        <v>1100</v>
      </c>
      <c r="AD362" s="7">
        <f t="shared" si="171"/>
        <v>0.11176</v>
      </c>
      <c r="AE362" s="21">
        <f t="shared" si="166"/>
        <v>26715.544827586211</v>
      </c>
      <c r="AF362" s="21">
        <f t="shared" si="188"/>
        <v>53.431089655172421</v>
      </c>
      <c r="AG362" s="41">
        <f>302/145</f>
        <v>2.0827586206896553</v>
      </c>
      <c r="AH362" s="45">
        <f t="shared" si="172"/>
        <v>0.36135920880224609</v>
      </c>
      <c r="AI362" s="45">
        <f t="shared" si="173"/>
        <v>0.64789664545382764</v>
      </c>
      <c r="AJ362" s="21">
        <f t="shared" si="195"/>
        <v>26.715544827586211</v>
      </c>
      <c r="AK362" s="21">
        <f t="shared" si="174"/>
        <v>0.38380000000000003</v>
      </c>
      <c r="AL362" s="21">
        <f t="shared" si="165"/>
        <v>0.35094671999999999</v>
      </c>
      <c r="AM362" s="21">
        <f t="shared" si="189"/>
        <v>27.06649154758621</v>
      </c>
      <c r="AN362" s="41">
        <f t="shared" si="175"/>
        <v>2.1101186206896556</v>
      </c>
      <c r="AO362" s="41">
        <f t="shared" si="176"/>
        <v>0.36610617652794242</v>
      </c>
      <c r="AP362" s="41">
        <f t="shared" si="177"/>
        <v>0.65640769039370994</v>
      </c>
      <c r="AQ362" s="21">
        <f t="shared" si="178"/>
        <v>0.14152796942400003</v>
      </c>
      <c r="AR362" s="21">
        <f t="shared" si="179"/>
        <v>16.285796126896557</v>
      </c>
      <c r="AS362" s="21">
        <f t="shared" si="180"/>
        <v>16.427324096320557</v>
      </c>
      <c r="AT362" s="41">
        <f t="shared" si="181"/>
        <v>4.7789351791322465</v>
      </c>
      <c r="AU362" s="4"/>
    </row>
    <row r="363" spans="1:60" x14ac:dyDescent="0.25">
      <c r="B363" s="4" t="s">
        <v>224</v>
      </c>
      <c r="C363" s="8">
        <v>101</v>
      </c>
      <c r="D363" s="4">
        <v>152</v>
      </c>
      <c r="E363">
        <f t="shared" si="191"/>
        <v>127</v>
      </c>
      <c r="F363" s="4">
        <v>1980</v>
      </c>
      <c r="G363" s="8">
        <v>1828.8</v>
      </c>
      <c r="H363" s="4">
        <v>100</v>
      </c>
      <c r="I363" s="4">
        <f t="shared" si="185"/>
        <v>101</v>
      </c>
      <c r="J363" s="4">
        <v>100</v>
      </c>
      <c r="K363" s="4">
        <f t="shared" si="186"/>
        <v>101</v>
      </c>
      <c r="L363" s="4">
        <f>4.4*E363</f>
        <v>558.80000000000007</v>
      </c>
      <c r="M363" s="4">
        <f t="shared" si="157"/>
        <v>458.80000000000007</v>
      </c>
      <c r="N363" s="4">
        <v>2</v>
      </c>
      <c r="O363">
        <f t="shared" si="193"/>
        <v>15.875</v>
      </c>
      <c r="P363" s="21">
        <f t="shared" si="167"/>
        <v>395.86521804492008</v>
      </c>
      <c r="Q363" s="29">
        <f t="shared" si="182"/>
        <v>3.0861870900827947E-2</v>
      </c>
      <c r="R363" s="21">
        <f t="shared" si="194"/>
        <v>275.86206896551727</v>
      </c>
      <c r="S363" s="41">
        <f t="shared" si="196"/>
        <v>4.4000000000000004</v>
      </c>
      <c r="T363" s="41">
        <f t="shared" si="197"/>
        <v>3.6125984251968508</v>
      </c>
      <c r="U363" s="4">
        <v>2</v>
      </c>
      <c r="V363">
        <v>33.22</v>
      </c>
      <c r="W363" s="4" t="s">
        <v>462</v>
      </c>
      <c r="X363" s="7">
        <v>0.5</v>
      </c>
      <c r="Y363">
        <v>25.4</v>
      </c>
      <c r="Z363" s="8">
        <v>0.22</v>
      </c>
      <c r="AA363" s="4">
        <v>0.25</v>
      </c>
      <c r="AB363" s="21">
        <f t="shared" si="190"/>
        <v>101.6</v>
      </c>
      <c r="AC363" s="4">
        <v>1100</v>
      </c>
      <c r="AD363" s="7">
        <f t="shared" si="171"/>
        <v>0.11176</v>
      </c>
      <c r="AE363" s="21">
        <f t="shared" si="166"/>
        <v>31580.958620689653</v>
      </c>
      <c r="AF363" s="21">
        <f t="shared" si="188"/>
        <v>63.161917241379307</v>
      </c>
      <c r="AG363" s="41">
        <v>2.4620689655172412</v>
      </c>
      <c r="AH363" s="45">
        <f t="shared" si="172"/>
        <v>0.42716966073642992</v>
      </c>
      <c r="AI363" s="45">
        <f t="shared" si="173"/>
        <v>0.76589106763912718</v>
      </c>
      <c r="AJ363" s="21">
        <f t="shared" si="195"/>
        <v>31.580958620689653</v>
      </c>
      <c r="AK363" s="21">
        <f t="shared" si="174"/>
        <v>0.38380000000000003</v>
      </c>
      <c r="AL363" s="21">
        <f t="shared" si="165"/>
        <v>0.35094671999999999</v>
      </c>
      <c r="AM363" s="21">
        <f t="shared" si="189"/>
        <v>31.931905340689653</v>
      </c>
      <c r="AN363" s="41">
        <f t="shared" si="175"/>
        <v>2.489428965517241</v>
      </c>
      <c r="AO363" s="41">
        <f t="shared" si="176"/>
        <v>0.43191662846212614</v>
      </c>
      <c r="AP363" s="41">
        <f t="shared" si="177"/>
        <v>0.77440211257900937</v>
      </c>
      <c r="AQ363" s="21">
        <f t="shared" si="178"/>
        <v>0.13509004681600001</v>
      </c>
      <c r="AR363" s="21">
        <f t="shared" si="179"/>
        <v>17.647439677241383</v>
      </c>
      <c r="AS363" s="21">
        <f t="shared" si="180"/>
        <v>17.782529724057383</v>
      </c>
      <c r="AT363" s="41">
        <f t="shared" si="181"/>
        <v>4.3849534687378577</v>
      </c>
      <c r="AU363" s="4"/>
    </row>
    <row r="364" spans="1:60" x14ac:dyDescent="0.25">
      <c r="B364" s="4" t="s">
        <v>225</v>
      </c>
      <c r="C364" s="8">
        <v>101</v>
      </c>
      <c r="D364" s="4">
        <v>152</v>
      </c>
      <c r="E364">
        <f t="shared" si="191"/>
        <v>127</v>
      </c>
      <c r="F364" s="4">
        <v>1980</v>
      </c>
      <c r="G364" s="8">
        <v>1828.8</v>
      </c>
      <c r="H364" s="4">
        <v>100</v>
      </c>
      <c r="I364" s="4">
        <f t="shared" si="185"/>
        <v>101</v>
      </c>
      <c r="J364" s="4">
        <v>100</v>
      </c>
      <c r="K364" s="4">
        <f t="shared" si="186"/>
        <v>101</v>
      </c>
      <c r="L364" s="4">
        <f>4.2*E364</f>
        <v>533.4</v>
      </c>
      <c r="M364" s="4">
        <f t="shared" si="157"/>
        <v>433.4</v>
      </c>
      <c r="N364" s="4">
        <v>2</v>
      </c>
      <c r="O364">
        <f t="shared" si="193"/>
        <v>15.875</v>
      </c>
      <c r="P364" s="21">
        <f t="shared" si="167"/>
        <v>395.86521804492008</v>
      </c>
      <c r="Q364" s="29">
        <f t="shared" si="182"/>
        <v>3.0861870900827947E-2</v>
      </c>
      <c r="R364" s="21">
        <f t="shared" si="194"/>
        <v>275.86206896551727</v>
      </c>
      <c r="S364" s="41">
        <f t="shared" si="196"/>
        <v>4.2</v>
      </c>
      <c r="T364" s="41">
        <f t="shared" si="197"/>
        <v>3.4125984251968502</v>
      </c>
      <c r="U364" s="4">
        <v>2</v>
      </c>
      <c r="V364">
        <v>33.22</v>
      </c>
      <c r="W364" s="4" t="s">
        <v>462</v>
      </c>
      <c r="X364" s="7">
        <v>0.5</v>
      </c>
      <c r="Y364">
        <v>25.4</v>
      </c>
      <c r="Z364" s="8">
        <v>0.22</v>
      </c>
      <c r="AA364" s="4">
        <v>0.25</v>
      </c>
      <c r="AB364" s="21">
        <f t="shared" si="190"/>
        <v>101.6</v>
      </c>
      <c r="AC364" s="4">
        <v>1100</v>
      </c>
      <c r="AD364" s="7">
        <f t="shared" si="171"/>
        <v>0.11176</v>
      </c>
      <c r="AE364" s="21">
        <f t="shared" si="166"/>
        <v>31492.496551724136</v>
      </c>
      <c r="AF364" s="21">
        <f t="shared" si="188"/>
        <v>62.984993103448275</v>
      </c>
      <c r="AG364" s="41">
        <f>356/145</f>
        <v>2.4551724137931035</v>
      </c>
      <c r="AH364" s="45">
        <f t="shared" si="172"/>
        <v>0.42597310706489938</v>
      </c>
      <c r="AI364" s="45">
        <f t="shared" si="173"/>
        <v>0.7637457145084855</v>
      </c>
      <c r="AJ364" s="21">
        <f t="shared" si="195"/>
        <v>31.492496551724138</v>
      </c>
      <c r="AK364" s="21">
        <f t="shared" si="174"/>
        <v>0.38380000000000003</v>
      </c>
      <c r="AL364" s="21">
        <f t="shared" si="165"/>
        <v>0.35094671999999999</v>
      </c>
      <c r="AM364" s="21">
        <f t="shared" si="189"/>
        <v>31.843443271724137</v>
      </c>
      <c r="AN364" s="41">
        <f t="shared" si="175"/>
        <v>2.4825324137931033</v>
      </c>
      <c r="AO364" s="41">
        <f t="shared" si="176"/>
        <v>0.4307200747905956</v>
      </c>
      <c r="AP364" s="41">
        <f t="shared" si="177"/>
        <v>0.77225675944836758</v>
      </c>
      <c r="AQ364" s="21">
        <f t="shared" si="178"/>
        <v>0.13149966690000001</v>
      </c>
      <c r="AR364" s="21">
        <f t="shared" si="179"/>
        <v>16.798097660689656</v>
      </c>
      <c r="AS364" s="21">
        <f t="shared" si="180"/>
        <v>16.929597327589658</v>
      </c>
      <c r="AT364" s="41">
        <f t="shared" si="181"/>
        <v>4.1862280667255005</v>
      </c>
      <c r="AU364" s="4"/>
    </row>
    <row r="365" spans="1:60" x14ac:dyDescent="0.25">
      <c r="B365" s="4" t="s">
        <v>226</v>
      </c>
      <c r="C365" s="8">
        <v>101</v>
      </c>
      <c r="D365" s="4">
        <v>152</v>
      </c>
      <c r="E365">
        <f t="shared" si="191"/>
        <v>127</v>
      </c>
      <c r="F365" s="4">
        <v>1980</v>
      </c>
      <c r="G365" s="8">
        <v>1828.8</v>
      </c>
      <c r="H365" s="4">
        <v>100</v>
      </c>
      <c r="I365" s="4">
        <f t="shared" si="185"/>
        <v>101</v>
      </c>
      <c r="J365" s="4">
        <v>100</v>
      </c>
      <c r="K365" s="4">
        <f t="shared" si="186"/>
        <v>101</v>
      </c>
      <c r="L365" s="4">
        <f>4.2*E365</f>
        <v>533.4</v>
      </c>
      <c r="M365" s="4">
        <f t="shared" si="157"/>
        <v>433.4</v>
      </c>
      <c r="N365" s="4">
        <v>2</v>
      </c>
      <c r="O365">
        <f t="shared" si="193"/>
        <v>15.875</v>
      </c>
      <c r="P365" s="21">
        <f t="shared" si="167"/>
        <v>395.86521804492008</v>
      </c>
      <c r="Q365" s="29">
        <f t="shared" si="182"/>
        <v>3.0861870900827947E-2</v>
      </c>
      <c r="R365" s="21">
        <f t="shared" si="194"/>
        <v>275.86206896551727</v>
      </c>
      <c r="S365" s="41">
        <f t="shared" si="196"/>
        <v>4.2</v>
      </c>
      <c r="T365" s="41">
        <f t="shared" si="197"/>
        <v>3.4125984251968502</v>
      </c>
      <c r="U365" s="4">
        <v>2</v>
      </c>
      <c r="V365">
        <v>33.22</v>
      </c>
      <c r="W365" s="4" t="s">
        <v>462</v>
      </c>
      <c r="X365" s="7">
        <v>0.5</v>
      </c>
      <c r="Y365">
        <v>25.4</v>
      </c>
      <c r="Z365" s="8">
        <v>0.22</v>
      </c>
      <c r="AA365" s="4">
        <v>0.25</v>
      </c>
      <c r="AB365" s="21">
        <f t="shared" si="190"/>
        <v>101.6</v>
      </c>
      <c r="AC365" s="4">
        <v>1100</v>
      </c>
      <c r="AD365" s="7">
        <f t="shared" si="171"/>
        <v>0.11176</v>
      </c>
      <c r="AE365" s="21">
        <f t="shared" si="166"/>
        <v>27865.551724137931</v>
      </c>
      <c r="AF365" s="21">
        <f t="shared" si="188"/>
        <v>55.73110344827586</v>
      </c>
      <c r="AG365" s="41">
        <v>2.1724137931034484</v>
      </c>
      <c r="AH365" s="45">
        <f t="shared" si="172"/>
        <v>0.37691440653214409</v>
      </c>
      <c r="AI365" s="45">
        <f t="shared" si="173"/>
        <v>0.67578623615217115</v>
      </c>
      <c r="AJ365" s="21">
        <f t="shared" si="195"/>
        <v>27.86555172413793</v>
      </c>
      <c r="AK365" s="21">
        <f t="shared" si="174"/>
        <v>0.38380000000000003</v>
      </c>
      <c r="AL365" s="21">
        <f t="shared" si="165"/>
        <v>0.35094671999999999</v>
      </c>
      <c r="AM365" s="21">
        <f t="shared" si="189"/>
        <v>28.21649844413793</v>
      </c>
      <c r="AN365" s="41">
        <f t="shared" si="175"/>
        <v>2.1997737931034482</v>
      </c>
      <c r="AO365" s="41">
        <f t="shared" si="176"/>
        <v>0.38166137425784036</v>
      </c>
      <c r="AP365" s="41">
        <f t="shared" si="177"/>
        <v>0.68429728109205334</v>
      </c>
      <c r="AQ365" s="21">
        <f t="shared" si="178"/>
        <v>0.13149966690000001</v>
      </c>
      <c r="AR365" s="21">
        <f t="shared" si="179"/>
        <v>14.863485289655172</v>
      </c>
      <c r="AS365" s="21">
        <f t="shared" si="180"/>
        <v>14.994984956555172</v>
      </c>
      <c r="AT365" s="41">
        <f t="shared" si="181"/>
        <v>4.1844578243173327</v>
      </c>
      <c r="AU365" s="4"/>
    </row>
    <row r="366" spans="1:60" x14ac:dyDescent="0.25">
      <c r="B366" s="4" t="s">
        <v>305</v>
      </c>
      <c r="C366" s="8">
        <v>101</v>
      </c>
      <c r="D366" s="4">
        <v>152</v>
      </c>
      <c r="E366">
        <f t="shared" si="191"/>
        <v>127</v>
      </c>
      <c r="F366" s="4">
        <v>1980</v>
      </c>
      <c r="G366" s="8">
        <v>1828.8</v>
      </c>
      <c r="H366" s="4">
        <v>100</v>
      </c>
      <c r="I366" s="4">
        <f t="shared" si="185"/>
        <v>101</v>
      </c>
      <c r="J366" s="4">
        <v>100</v>
      </c>
      <c r="K366" s="4">
        <f t="shared" si="186"/>
        <v>101</v>
      </c>
      <c r="L366" s="4">
        <f>4.2*E366</f>
        <v>533.4</v>
      </c>
      <c r="M366" s="4">
        <f t="shared" si="157"/>
        <v>433.4</v>
      </c>
      <c r="N366" s="4">
        <v>2</v>
      </c>
      <c r="O366">
        <f t="shared" si="193"/>
        <v>15.875</v>
      </c>
      <c r="P366" s="21">
        <f t="shared" si="167"/>
        <v>395.86521804492008</v>
      </c>
      <c r="Q366" s="29">
        <f t="shared" si="182"/>
        <v>3.0861870900827947E-2</v>
      </c>
      <c r="R366" s="21">
        <f t="shared" si="194"/>
        <v>275.86206896551727</v>
      </c>
      <c r="S366" s="41">
        <f t="shared" si="196"/>
        <v>4.2</v>
      </c>
      <c r="T366" s="41">
        <f t="shared" si="197"/>
        <v>3.4125984251968502</v>
      </c>
      <c r="U366" s="4">
        <v>2</v>
      </c>
      <c r="V366">
        <v>33.22</v>
      </c>
      <c r="W366" s="4" t="s">
        <v>462</v>
      </c>
      <c r="X366" s="7">
        <v>0.5</v>
      </c>
      <c r="Y366">
        <v>25.4</v>
      </c>
      <c r="Z366" s="8">
        <v>0.22</v>
      </c>
      <c r="AA366" s="4">
        <v>0.25</v>
      </c>
      <c r="AB366" s="21">
        <f t="shared" si="190"/>
        <v>101.6</v>
      </c>
      <c r="AC366" s="4">
        <v>1100</v>
      </c>
      <c r="AD366" s="7">
        <f t="shared" si="171"/>
        <v>0.11176</v>
      </c>
      <c r="AE366" s="21">
        <f t="shared" si="166"/>
        <v>25123.227586206896</v>
      </c>
      <c r="AF366" s="21">
        <f t="shared" si="188"/>
        <v>50.246455172413796</v>
      </c>
      <c r="AG366" s="41">
        <f>284/145</f>
        <v>1.9586206896551723</v>
      </c>
      <c r="AH366" s="45">
        <f t="shared" si="172"/>
        <v>0.33982124271469499</v>
      </c>
      <c r="AI366" s="45">
        <f t="shared" si="173"/>
        <v>0.60928028910227494</v>
      </c>
      <c r="AJ366" s="21">
        <f t="shared" si="195"/>
        <v>25.123227586206898</v>
      </c>
      <c r="AK366" s="21">
        <f t="shared" si="174"/>
        <v>0.38380000000000003</v>
      </c>
      <c r="AL366" s="21">
        <f t="shared" ref="AL366:AL429" si="198">25*C366/1000*D366/1000*F366/1000-25*C366/1000*D366/1000*F366/1000*(F366/2000-(F366-G366)/2000)*1/(G366/1000)-25*C366/1000*D366/1000*(F366-G366)/2000</f>
        <v>0.35094671999999999</v>
      </c>
      <c r="AM366" s="21">
        <f t="shared" si="189"/>
        <v>25.474174306206898</v>
      </c>
      <c r="AN366" s="41">
        <f t="shared" si="175"/>
        <v>1.9859806896551724</v>
      </c>
      <c r="AO366" s="41">
        <f t="shared" si="176"/>
        <v>0.34456821044039126</v>
      </c>
      <c r="AP366" s="41">
        <f t="shared" si="177"/>
        <v>0.61779133404215714</v>
      </c>
      <c r="AQ366" s="21">
        <f t="shared" si="178"/>
        <v>0.13149966690000001</v>
      </c>
      <c r="AR366" s="21">
        <f t="shared" si="179"/>
        <v>13.400729594482758</v>
      </c>
      <c r="AS366" s="21">
        <f t="shared" si="180"/>
        <v>13.532229261382758</v>
      </c>
      <c r="AT366" s="41">
        <f t="shared" si="181"/>
        <v>4.1827846912446667</v>
      </c>
      <c r="AU366" s="4"/>
    </row>
    <row r="367" spans="1:60" x14ac:dyDescent="0.25">
      <c r="B367" s="4" t="s">
        <v>278</v>
      </c>
      <c r="C367" s="8">
        <v>101</v>
      </c>
      <c r="D367" s="4">
        <v>152</v>
      </c>
      <c r="E367">
        <f t="shared" si="191"/>
        <v>127</v>
      </c>
      <c r="F367" s="4">
        <v>1980</v>
      </c>
      <c r="G367" s="8">
        <v>1828.8</v>
      </c>
      <c r="H367" s="4">
        <v>100</v>
      </c>
      <c r="I367" s="4">
        <f t="shared" si="185"/>
        <v>101</v>
      </c>
      <c r="J367" s="4">
        <v>100</v>
      </c>
      <c r="K367" s="4">
        <f t="shared" si="186"/>
        <v>101</v>
      </c>
      <c r="L367">
        <f>4.3*E367</f>
        <v>546.1</v>
      </c>
      <c r="M367" s="4">
        <f t="shared" si="157"/>
        <v>446.1</v>
      </c>
      <c r="N367" s="4">
        <v>2</v>
      </c>
      <c r="O367">
        <f t="shared" si="193"/>
        <v>15.875</v>
      </c>
      <c r="P367" s="21">
        <f t="shared" si="167"/>
        <v>395.86521804492008</v>
      </c>
      <c r="Q367" s="29">
        <f t="shared" si="182"/>
        <v>3.0861870900827947E-2</v>
      </c>
      <c r="R367" s="21">
        <f t="shared" si="194"/>
        <v>275.86206896551727</v>
      </c>
      <c r="S367" s="41">
        <f t="shared" si="196"/>
        <v>4.3</v>
      </c>
      <c r="T367" s="41">
        <f t="shared" si="197"/>
        <v>3.5125984251968507</v>
      </c>
      <c r="U367" s="4">
        <v>2</v>
      </c>
      <c r="V367">
        <v>33.22</v>
      </c>
      <c r="W367" s="4" t="s">
        <v>462</v>
      </c>
      <c r="X367" s="7">
        <v>0.5</v>
      </c>
      <c r="Y367">
        <v>25.4</v>
      </c>
      <c r="Z367" s="8">
        <v>0.22</v>
      </c>
      <c r="AA367" s="4">
        <v>0.25</v>
      </c>
      <c r="AB367" s="21">
        <f t="shared" si="190"/>
        <v>101.6</v>
      </c>
      <c r="AC367" s="4">
        <v>1100</v>
      </c>
      <c r="AD367" s="7">
        <f t="shared" si="171"/>
        <v>0.11176</v>
      </c>
      <c r="AE367" s="21">
        <f t="shared" si="166"/>
        <v>29546.331034482759</v>
      </c>
      <c r="AF367" s="21">
        <f t="shared" si="188"/>
        <v>59.092662068965517</v>
      </c>
      <c r="AG367" s="41">
        <f>334/145</f>
        <v>2.3034482758620691</v>
      </c>
      <c r="AH367" s="45">
        <f t="shared" si="172"/>
        <v>0.39964892629122584</v>
      </c>
      <c r="AI367" s="45">
        <f t="shared" si="173"/>
        <v>0.71654794563436564</v>
      </c>
      <c r="AJ367" s="21">
        <f t="shared" si="195"/>
        <v>29.546331034482758</v>
      </c>
      <c r="AK367" s="21">
        <f t="shared" si="174"/>
        <v>0.38380000000000003</v>
      </c>
      <c r="AL367" s="21">
        <f t="shared" si="198"/>
        <v>0.35094671999999999</v>
      </c>
      <c r="AM367" s="21">
        <f t="shared" si="189"/>
        <v>29.897277754482758</v>
      </c>
      <c r="AN367" s="41">
        <f t="shared" si="175"/>
        <v>2.330808275862069</v>
      </c>
      <c r="AO367" s="41">
        <f t="shared" si="176"/>
        <v>0.40439589401692205</v>
      </c>
      <c r="AP367" s="41">
        <f t="shared" si="177"/>
        <v>0.72505899057424783</v>
      </c>
      <c r="AQ367" s="21">
        <f t="shared" si="178"/>
        <v>0.13332580840900002</v>
      </c>
      <c r="AR367" s="21">
        <f t="shared" si="179"/>
        <v>16.135251377931034</v>
      </c>
      <c r="AS367" s="21">
        <f t="shared" si="180"/>
        <v>16.268577186340035</v>
      </c>
      <c r="AT367" s="41">
        <f t="shared" si="181"/>
        <v>4.2846386890224597</v>
      </c>
      <c r="AU367" s="4"/>
    </row>
    <row r="368" spans="1:60" x14ac:dyDescent="0.25">
      <c r="B368" s="4" t="s">
        <v>279</v>
      </c>
      <c r="C368" s="8">
        <v>101</v>
      </c>
      <c r="D368" s="4">
        <v>152</v>
      </c>
      <c r="E368">
        <f t="shared" si="191"/>
        <v>127</v>
      </c>
      <c r="F368" s="4">
        <v>1980</v>
      </c>
      <c r="G368" s="8">
        <v>1828.8</v>
      </c>
      <c r="H368" s="4">
        <v>100</v>
      </c>
      <c r="I368" s="4">
        <f t="shared" si="185"/>
        <v>101</v>
      </c>
      <c r="J368" s="4">
        <v>100</v>
      </c>
      <c r="K368" s="4">
        <f t="shared" si="186"/>
        <v>101</v>
      </c>
      <c r="L368">
        <f>4.3*E368</f>
        <v>546.1</v>
      </c>
      <c r="M368" s="4">
        <f t="shared" si="157"/>
        <v>446.1</v>
      </c>
      <c r="N368" s="4">
        <v>2</v>
      </c>
      <c r="O368">
        <f t="shared" si="193"/>
        <v>15.875</v>
      </c>
      <c r="P368" s="21">
        <f t="shared" si="167"/>
        <v>395.86521804492008</v>
      </c>
      <c r="Q368" s="29">
        <f t="shared" si="182"/>
        <v>3.0861870900827947E-2</v>
      </c>
      <c r="R368" s="21">
        <f t="shared" si="194"/>
        <v>275.86206896551727</v>
      </c>
      <c r="S368" s="41">
        <f t="shared" si="196"/>
        <v>4.3</v>
      </c>
      <c r="T368" s="41">
        <f t="shared" si="197"/>
        <v>3.5125984251968507</v>
      </c>
      <c r="U368" s="4">
        <v>2</v>
      </c>
      <c r="V368">
        <v>33.22</v>
      </c>
      <c r="W368" s="4" t="s">
        <v>462</v>
      </c>
      <c r="X368" s="7">
        <v>0.5</v>
      </c>
      <c r="Y368">
        <v>25.4</v>
      </c>
      <c r="Z368" s="8">
        <v>0.22</v>
      </c>
      <c r="AA368" s="4">
        <v>0.25</v>
      </c>
      <c r="AB368" s="21">
        <f t="shared" si="190"/>
        <v>101.6</v>
      </c>
      <c r="AC368" s="4">
        <v>1100</v>
      </c>
      <c r="AD368" s="7">
        <f t="shared" si="171"/>
        <v>0.11176</v>
      </c>
      <c r="AE368" s="21">
        <f t="shared" si="166"/>
        <v>27954.013793103448</v>
      </c>
      <c r="AF368" s="21">
        <f t="shared" si="188"/>
        <v>55.908027586206899</v>
      </c>
      <c r="AG368" s="41">
        <f>316/145</f>
        <v>2.1793103448275861</v>
      </c>
      <c r="AH368" s="45">
        <f t="shared" si="172"/>
        <v>0.37811096020367468</v>
      </c>
      <c r="AI368" s="45">
        <f t="shared" si="173"/>
        <v>0.67793158928281294</v>
      </c>
      <c r="AJ368" s="21">
        <f t="shared" si="195"/>
        <v>27.954013793103449</v>
      </c>
      <c r="AK368" s="21">
        <f t="shared" si="174"/>
        <v>0.38380000000000003</v>
      </c>
      <c r="AL368" s="21">
        <f t="shared" si="198"/>
        <v>0.35094671999999999</v>
      </c>
      <c r="AM368" s="21">
        <f t="shared" si="189"/>
        <v>28.304960513103449</v>
      </c>
      <c r="AN368" s="41">
        <f t="shared" si="175"/>
        <v>2.206670344827586</v>
      </c>
      <c r="AO368" s="41">
        <f t="shared" si="176"/>
        <v>0.3828579279293709</v>
      </c>
      <c r="AP368" s="41">
        <f t="shared" si="177"/>
        <v>0.68644263422269503</v>
      </c>
      <c r="AQ368" s="21">
        <f t="shared" si="178"/>
        <v>0.13332580840900002</v>
      </c>
      <c r="AR368" s="21">
        <f t="shared" si="179"/>
        <v>15.265686932413795</v>
      </c>
      <c r="AS368" s="21">
        <f t="shared" si="180"/>
        <v>15.399012740822794</v>
      </c>
      <c r="AT368" s="41">
        <f t="shared" si="181"/>
        <v>4.2837745267033362</v>
      </c>
      <c r="AU368" s="4"/>
    </row>
    <row r="369" spans="2:47" x14ac:dyDescent="0.25">
      <c r="B369" s="4" t="s">
        <v>229</v>
      </c>
      <c r="C369" s="8">
        <v>101</v>
      </c>
      <c r="D369" s="4">
        <v>152</v>
      </c>
      <c r="E369">
        <f t="shared" si="191"/>
        <v>127</v>
      </c>
      <c r="F369" s="4">
        <v>1980</v>
      </c>
      <c r="G369" s="8">
        <v>1828.8</v>
      </c>
      <c r="H369" s="4">
        <v>100</v>
      </c>
      <c r="I369" s="4">
        <f t="shared" si="185"/>
        <v>101</v>
      </c>
      <c r="J369" s="4">
        <v>100</v>
      </c>
      <c r="K369" s="4">
        <f t="shared" si="186"/>
        <v>101</v>
      </c>
      <c r="L369">
        <f>4.2*E369</f>
        <v>533.4</v>
      </c>
      <c r="M369" s="4">
        <f t="shared" si="157"/>
        <v>433.4</v>
      </c>
      <c r="N369" s="4">
        <v>2</v>
      </c>
      <c r="O369">
        <f t="shared" si="193"/>
        <v>15.875</v>
      </c>
      <c r="P369" s="21">
        <f t="shared" si="167"/>
        <v>395.86521804492008</v>
      </c>
      <c r="Q369" s="29">
        <f t="shared" si="182"/>
        <v>3.0861870900827947E-2</v>
      </c>
      <c r="R369" s="21">
        <f t="shared" si="194"/>
        <v>275.86206896551727</v>
      </c>
      <c r="S369" s="41">
        <f t="shared" si="196"/>
        <v>4.2</v>
      </c>
      <c r="T369" s="41">
        <f t="shared" si="197"/>
        <v>3.4125984251968502</v>
      </c>
      <c r="U369" s="4">
        <v>2</v>
      </c>
      <c r="V369">
        <v>40.21</v>
      </c>
      <c r="W369" s="4" t="s">
        <v>462</v>
      </c>
      <c r="X369" s="7">
        <v>0.5</v>
      </c>
      <c r="Y369">
        <v>25.4</v>
      </c>
      <c r="Z369" s="8">
        <v>0.44</v>
      </c>
      <c r="AA369" s="4">
        <v>0.25</v>
      </c>
      <c r="AB369" s="21">
        <f t="shared" si="190"/>
        <v>101.6</v>
      </c>
      <c r="AC369" s="4">
        <v>1100</v>
      </c>
      <c r="AD369" s="7">
        <f t="shared" si="171"/>
        <v>0.22352</v>
      </c>
      <c r="AE369" s="21">
        <f t="shared" si="166"/>
        <v>32907.88965517241</v>
      </c>
      <c r="AF369" s="21">
        <f t="shared" si="188"/>
        <v>65.815779310344823</v>
      </c>
      <c r="AG369" s="41">
        <f>372/145</f>
        <v>2.5655172413793101</v>
      </c>
      <c r="AH369" s="45">
        <f t="shared" si="172"/>
        <v>0.40458325219119762</v>
      </c>
      <c r="AI369" s="45">
        <f t="shared" si="173"/>
        <v>0.74885358507297384</v>
      </c>
      <c r="AJ369" s="21">
        <f t="shared" si="195"/>
        <v>32.907889655172411</v>
      </c>
      <c r="AK369" s="21">
        <f t="shared" si="174"/>
        <v>0.38380000000000003</v>
      </c>
      <c r="AL369" s="21">
        <f t="shared" si="198"/>
        <v>0.35094671999999999</v>
      </c>
      <c r="AM369" s="21">
        <f t="shared" si="189"/>
        <v>33.258836375172415</v>
      </c>
      <c r="AN369" s="41">
        <f t="shared" si="175"/>
        <v>2.5928772413793104</v>
      </c>
      <c r="AO369" s="41">
        <f t="shared" si="176"/>
        <v>0.40889793680972703</v>
      </c>
      <c r="AP369" s="41">
        <f t="shared" si="177"/>
        <v>0.7568397462092683</v>
      </c>
      <c r="AQ369" s="21">
        <f t="shared" si="178"/>
        <v>0.13149966690000001</v>
      </c>
      <c r="AR369" s="21">
        <f t="shared" si="179"/>
        <v>17.553068342068965</v>
      </c>
      <c r="AS369" s="21">
        <f t="shared" si="180"/>
        <v>17.684568008968967</v>
      </c>
      <c r="AT369" s="41">
        <f t="shared" si="181"/>
        <v>4.1868141575663813</v>
      </c>
      <c r="AU369" s="4"/>
    </row>
    <row r="370" spans="2:47" x14ac:dyDescent="0.25">
      <c r="B370" s="4" t="s">
        <v>356</v>
      </c>
      <c r="C370" s="8">
        <v>101</v>
      </c>
      <c r="D370" s="4">
        <v>152</v>
      </c>
      <c r="E370">
        <f t="shared" si="191"/>
        <v>127</v>
      </c>
      <c r="F370" s="4">
        <v>1980</v>
      </c>
      <c r="G370" s="8">
        <v>1828.8</v>
      </c>
      <c r="H370" s="4">
        <v>100</v>
      </c>
      <c r="I370" s="4">
        <f t="shared" si="185"/>
        <v>101</v>
      </c>
      <c r="J370" s="4">
        <v>100</v>
      </c>
      <c r="K370" s="4">
        <f t="shared" si="186"/>
        <v>101</v>
      </c>
      <c r="L370">
        <f>4*E370</f>
        <v>508</v>
      </c>
      <c r="M370" s="4">
        <f t="shared" ref="M370:M434" si="199">L370-J370/2-H370/2</f>
        <v>408</v>
      </c>
      <c r="N370" s="4">
        <v>2</v>
      </c>
      <c r="O370">
        <f t="shared" si="193"/>
        <v>15.875</v>
      </c>
      <c r="P370" s="21">
        <f t="shared" si="167"/>
        <v>395.86521804492008</v>
      </c>
      <c r="Q370" s="29">
        <f t="shared" si="182"/>
        <v>3.0861870900827947E-2</v>
      </c>
      <c r="R370" s="21">
        <f t="shared" si="194"/>
        <v>275.86206896551727</v>
      </c>
      <c r="S370" s="41">
        <f t="shared" si="196"/>
        <v>4</v>
      </c>
      <c r="T370" s="41">
        <f t="shared" si="197"/>
        <v>3.2125984251968505</v>
      </c>
      <c r="U370" s="4">
        <v>2</v>
      </c>
      <c r="V370">
        <v>40.21</v>
      </c>
      <c r="W370" s="4" t="s">
        <v>462</v>
      </c>
      <c r="X370" s="7">
        <v>0.5</v>
      </c>
      <c r="Y370">
        <v>25.4</v>
      </c>
      <c r="Z370" s="8">
        <v>0.44</v>
      </c>
      <c r="AA370" s="4">
        <v>0.25</v>
      </c>
      <c r="AB370" s="21">
        <f t="shared" si="190"/>
        <v>101.6</v>
      </c>
      <c r="AC370" s="4">
        <v>1100</v>
      </c>
      <c r="AD370" s="7">
        <f t="shared" si="171"/>
        <v>0.22352</v>
      </c>
      <c r="AE370" s="21">
        <f t="shared" si="166"/>
        <v>33084.813793103451</v>
      </c>
      <c r="AF370" s="21">
        <f t="shared" si="188"/>
        <v>66.1696275862069</v>
      </c>
      <c r="AG370" s="41">
        <f>374/145</f>
        <v>2.579310344827586</v>
      </c>
      <c r="AH370" s="45">
        <f t="shared" si="172"/>
        <v>0.40675843096641912</v>
      </c>
      <c r="AI370" s="45">
        <f t="shared" si="173"/>
        <v>0.75287967961637692</v>
      </c>
      <c r="AJ370" s="21">
        <f t="shared" si="195"/>
        <v>33.08481379310345</v>
      </c>
      <c r="AK370" s="21">
        <f t="shared" si="174"/>
        <v>0.38380000000000003</v>
      </c>
      <c r="AL370" s="21">
        <f t="shared" si="198"/>
        <v>0.35094671999999999</v>
      </c>
      <c r="AM370" s="21">
        <f t="shared" si="189"/>
        <v>33.435760513103453</v>
      </c>
      <c r="AN370" s="41">
        <f t="shared" si="175"/>
        <v>2.6066703448275863</v>
      </c>
      <c r="AO370" s="41">
        <f t="shared" si="176"/>
        <v>0.41107311558494847</v>
      </c>
      <c r="AP370" s="41">
        <f t="shared" si="177"/>
        <v>0.76086584075267139</v>
      </c>
      <c r="AQ370" s="21">
        <f t="shared" si="178"/>
        <v>0.12766167457600003</v>
      </c>
      <c r="AR370" s="21">
        <f t="shared" si="179"/>
        <v>16.807085406896555</v>
      </c>
      <c r="AS370" s="21">
        <f t="shared" si="180"/>
        <v>16.934747081472555</v>
      </c>
      <c r="AT370" s="41">
        <f t="shared" si="181"/>
        <v>3.9880793247154553</v>
      </c>
      <c r="AU370" s="4"/>
    </row>
    <row r="371" spans="2:47" x14ac:dyDescent="0.25">
      <c r="B371" s="4" t="s">
        <v>357</v>
      </c>
      <c r="C371" s="8">
        <v>101</v>
      </c>
      <c r="D371" s="4">
        <v>152</v>
      </c>
      <c r="E371">
        <f t="shared" si="191"/>
        <v>127</v>
      </c>
      <c r="F371" s="4">
        <v>1980</v>
      </c>
      <c r="G371" s="8">
        <v>1828.8</v>
      </c>
      <c r="H371" s="4">
        <v>100</v>
      </c>
      <c r="I371" s="4">
        <f t="shared" si="185"/>
        <v>101</v>
      </c>
      <c r="J371" s="4">
        <v>100</v>
      </c>
      <c r="K371" s="4">
        <f t="shared" si="186"/>
        <v>101</v>
      </c>
      <c r="L371">
        <f>4*E371</f>
        <v>508</v>
      </c>
      <c r="M371" s="4">
        <f t="shared" si="199"/>
        <v>408</v>
      </c>
      <c r="N371" s="4">
        <v>2</v>
      </c>
      <c r="O371">
        <f t="shared" si="193"/>
        <v>15.875</v>
      </c>
      <c r="P371" s="21">
        <f t="shared" si="167"/>
        <v>395.86521804492008</v>
      </c>
      <c r="Q371" s="29">
        <f t="shared" si="182"/>
        <v>3.0861870900827947E-2</v>
      </c>
      <c r="R371" s="21">
        <f t="shared" si="194"/>
        <v>275.86206896551727</v>
      </c>
      <c r="S371" s="41">
        <f t="shared" si="196"/>
        <v>4</v>
      </c>
      <c r="T371" s="41">
        <f t="shared" si="197"/>
        <v>3.2125984251968505</v>
      </c>
      <c r="U371" s="4">
        <v>2</v>
      </c>
      <c r="V371">
        <v>40.21</v>
      </c>
      <c r="W371" s="4" t="s">
        <v>462</v>
      </c>
      <c r="X371" s="7">
        <v>0.5</v>
      </c>
      <c r="Y371">
        <v>25.4</v>
      </c>
      <c r="Z371" s="8">
        <v>0.44</v>
      </c>
      <c r="AA371" s="4">
        <v>0.25</v>
      </c>
      <c r="AB371" s="21">
        <f t="shared" si="190"/>
        <v>101.6</v>
      </c>
      <c r="AC371" s="4">
        <v>1100</v>
      </c>
      <c r="AD371" s="7">
        <f t="shared" si="171"/>
        <v>0.22352</v>
      </c>
      <c r="AE371" s="21">
        <f t="shared" si="166"/>
        <v>31138.648275862066</v>
      </c>
      <c r="AF371" s="21">
        <f t="shared" si="188"/>
        <v>62.277296551724135</v>
      </c>
      <c r="AG371" s="41">
        <f>352/145</f>
        <v>2.4275862068965517</v>
      </c>
      <c r="AH371" s="45">
        <f t="shared" si="172"/>
        <v>0.38283146443898269</v>
      </c>
      <c r="AI371" s="45">
        <f t="shared" si="173"/>
        <v>0.70859263963894303</v>
      </c>
      <c r="AJ371" s="21">
        <f t="shared" si="195"/>
        <v>31.138648275862067</v>
      </c>
      <c r="AK371" s="21">
        <f t="shared" si="174"/>
        <v>0.38380000000000003</v>
      </c>
      <c r="AL371" s="21">
        <f t="shared" si="198"/>
        <v>0.35094671999999999</v>
      </c>
      <c r="AM371" s="21">
        <f t="shared" si="189"/>
        <v>31.489594995862067</v>
      </c>
      <c r="AN371" s="41">
        <f t="shared" si="175"/>
        <v>2.4549462068965515</v>
      </c>
      <c r="AO371" s="41">
        <f t="shared" si="176"/>
        <v>0.38714614905751205</v>
      </c>
      <c r="AP371" s="41">
        <f t="shared" si="177"/>
        <v>0.71657880077523739</v>
      </c>
      <c r="AQ371" s="21">
        <f t="shared" si="178"/>
        <v>0.12766167457600003</v>
      </c>
      <c r="AR371" s="21">
        <f t="shared" si="179"/>
        <v>15.81843332413793</v>
      </c>
      <c r="AS371" s="21">
        <f t="shared" si="180"/>
        <v>15.94609499871393</v>
      </c>
      <c r="AT371" s="41">
        <f t="shared" si="181"/>
        <v>3.9873425858915974</v>
      </c>
      <c r="AU371" s="4"/>
    </row>
    <row r="372" spans="2:47" x14ac:dyDescent="0.25">
      <c r="B372" s="4" t="s">
        <v>230</v>
      </c>
      <c r="C372" s="8">
        <v>101</v>
      </c>
      <c r="D372" s="4">
        <v>152</v>
      </c>
      <c r="E372">
        <f t="shared" si="191"/>
        <v>127</v>
      </c>
      <c r="F372" s="4">
        <v>1980</v>
      </c>
      <c r="G372" s="8">
        <v>1828.8</v>
      </c>
      <c r="H372" s="4">
        <v>100</v>
      </c>
      <c r="I372" s="4">
        <f t="shared" si="185"/>
        <v>101</v>
      </c>
      <c r="J372" s="4">
        <v>100</v>
      </c>
      <c r="K372" s="4">
        <f t="shared" si="186"/>
        <v>101</v>
      </c>
      <c r="L372">
        <f>4*E372</f>
        <v>508</v>
      </c>
      <c r="M372" s="4">
        <f t="shared" si="199"/>
        <v>408</v>
      </c>
      <c r="N372" s="4">
        <v>2</v>
      </c>
      <c r="O372">
        <f t="shared" si="193"/>
        <v>15.875</v>
      </c>
      <c r="P372" s="21">
        <f t="shared" si="167"/>
        <v>395.86521804492008</v>
      </c>
      <c r="Q372" s="29">
        <f t="shared" si="182"/>
        <v>3.0861870900827947E-2</v>
      </c>
      <c r="R372" s="21">
        <f t="shared" si="194"/>
        <v>275.86206896551727</v>
      </c>
      <c r="S372" s="41">
        <f t="shared" si="196"/>
        <v>4</v>
      </c>
      <c r="T372" s="41">
        <f t="shared" si="197"/>
        <v>3.2125984251968505</v>
      </c>
      <c r="U372" s="4">
        <v>2</v>
      </c>
      <c r="V372">
        <v>40.21</v>
      </c>
      <c r="W372" s="4" t="s">
        <v>462</v>
      </c>
      <c r="X372" s="7">
        <v>0.5</v>
      </c>
      <c r="Y372">
        <v>25.4</v>
      </c>
      <c r="Z372" s="8">
        <v>0.44</v>
      </c>
      <c r="AA372" s="4">
        <v>0.25</v>
      </c>
      <c r="AB372" s="21">
        <f t="shared" si="190"/>
        <v>101.6</v>
      </c>
      <c r="AC372" s="4">
        <v>1100</v>
      </c>
      <c r="AD372" s="7">
        <f t="shared" si="171"/>
        <v>0.22352</v>
      </c>
      <c r="AE372" s="21">
        <f t="shared" ref="AE372:AE435" si="200">AJ372*1000</f>
        <v>33084.813793103451</v>
      </c>
      <c r="AF372" s="21">
        <f t="shared" si="188"/>
        <v>66.1696275862069</v>
      </c>
      <c r="AG372" s="41">
        <f>374/145</f>
        <v>2.579310344827586</v>
      </c>
      <c r="AH372" s="45">
        <f t="shared" si="172"/>
        <v>0.40675843096641912</v>
      </c>
      <c r="AI372" s="45">
        <f t="shared" si="173"/>
        <v>0.75287967961637692</v>
      </c>
      <c r="AJ372" s="21">
        <f t="shared" si="195"/>
        <v>33.08481379310345</v>
      </c>
      <c r="AK372" s="21">
        <f t="shared" si="174"/>
        <v>0.38380000000000003</v>
      </c>
      <c r="AL372" s="21">
        <f t="shared" si="198"/>
        <v>0.35094671999999999</v>
      </c>
      <c r="AM372" s="21">
        <f t="shared" si="189"/>
        <v>33.435760513103453</v>
      </c>
      <c r="AN372" s="41">
        <f t="shared" si="175"/>
        <v>2.6066703448275863</v>
      </c>
      <c r="AO372" s="41">
        <f t="shared" si="176"/>
        <v>0.41107311558494847</v>
      </c>
      <c r="AP372" s="41">
        <f t="shared" si="177"/>
        <v>0.76086584075267139</v>
      </c>
      <c r="AQ372" s="21">
        <f t="shared" si="178"/>
        <v>0.12766167457600003</v>
      </c>
      <c r="AR372" s="21">
        <f t="shared" si="179"/>
        <v>16.807085406896555</v>
      </c>
      <c r="AS372" s="21">
        <f t="shared" si="180"/>
        <v>16.934747081472555</v>
      </c>
      <c r="AT372" s="41">
        <f t="shared" si="181"/>
        <v>3.9880793247154553</v>
      </c>
      <c r="AU372" s="4"/>
    </row>
    <row r="373" spans="2:47" x14ac:dyDescent="0.25">
      <c r="B373" s="4" t="s">
        <v>358</v>
      </c>
      <c r="C373" s="8">
        <v>101</v>
      </c>
      <c r="D373" s="4">
        <v>152</v>
      </c>
      <c r="E373">
        <f t="shared" si="191"/>
        <v>127</v>
      </c>
      <c r="F373" s="4">
        <v>1980</v>
      </c>
      <c r="G373" s="8">
        <v>1828.8</v>
      </c>
      <c r="H373" s="4">
        <v>100</v>
      </c>
      <c r="I373" s="4">
        <f t="shared" si="185"/>
        <v>101</v>
      </c>
      <c r="J373" s="4">
        <v>100</v>
      </c>
      <c r="K373" s="4">
        <f t="shared" si="186"/>
        <v>101</v>
      </c>
      <c r="L373">
        <f>4.4*E373</f>
        <v>558.80000000000007</v>
      </c>
      <c r="M373" s="4">
        <f t="shared" si="199"/>
        <v>458.80000000000007</v>
      </c>
      <c r="N373" s="4">
        <v>2</v>
      </c>
      <c r="O373">
        <f t="shared" si="193"/>
        <v>15.875</v>
      </c>
      <c r="P373" s="21">
        <f t="shared" ref="P373:P450" si="201">N373*PI()*(O373/2)^2</f>
        <v>395.86521804492008</v>
      </c>
      <c r="Q373" s="29">
        <f t="shared" si="182"/>
        <v>3.0861870900827947E-2</v>
      </c>
      <c r="R373" s="21">
        <f t="shared" si="194"/>
        <v>275.86206896551727</v>
      </c>
      <c r="S373" s="41">
        <f t="shared" si="196"/>
        <v>4.4000000000000004</v>
      </c>
      <c r="T373" s="41">
        <f t="shared" si="197"/>
        <v>3.6125984251968508</v>
      </c>
      <c r="U373" s="4">
        <v>2</v>
      </c>
      <c r="V373">
        <v>33.22</v>
      </c>
      <c r="W373" s="4" t="s">
        <v>462</v>
      </c>
      <c r="X373" s="7">
        <v>0.5</v>
      </c>
      <c r="Y373">
        <v>25.4</v>
      </c>
      <c r="Z373" s="8">
        <v>0.22</v>
      </c>
      <c r="AA373" s="4">
        <v>0.25</v>
      </c>
      <c r="AB373" s="21">
        <f t="shared" si="190"/>
        <v>101.6</v>
      </c>
      <c r="AC373" s="4">
        <v>1100</v>
      </c>
      <c r="AD373" s="7">
        <f t="shared" si="171"/>
        <v>0.11176</v>
      </c>
      <c r="AE373" s="21">
        <f t="shared" si="200"/>
        <v>28307.862068965518</v>
      </c>
      <c r="AF373" s="21">
        <f t="shared" si="188"/>
        <v>56.615724137931039</v>
      </c>
      <c r="AG373" s="41">
        <f>320/145</f>
        <v>2.2068965517241379</v>
      </c>
      <c r="AH373" s="45">
        <f t="shared" si="172"/>
        <v>0.38289717488979719</v>
      </c>
      <c r="AI373" s="45">
        <f t="shared" si="173"/>
        <v>0.68651300180538022</v>
      </c>
      <c r="AJ373" s="21">
        <f t="shared" si="195"/>
        <v>28.30786206896552</v>
      </c>
      <c r="AK373" s="21">
        <f t="shared" si="174"/>
        <v>0.38380000000000003</v>
      </c>
      <c r="AL373" s="21">
        <f t="shared" si="198"/>
        <v>0.35094671999999999</v>
      </c>
      <c r="AM373" s="21">
        <f t="shared" si="189"/>
        <v>28.658808788965519</v>
      </c>
      <c r="AN373" s="41">
        <f t="shared" si="175"/>
        <v>2.2342565517241382</v>
      </c>
      <c r="AO373" s="41">
        <f t="shared" si="176"/>
        <v>0.38764414261549346</v>
      </c>
      <c r="AP373" s="41">
        <f t="shared" si="177"/>
        <v>0.69502404674526252</v>
      </c>
      <c r="AQ373" s="21">
        <f t="shared" si="178"/>
        <v>0.13509004681600001</v>
      </c>
      <c r="AR373" s="21">
        <f t="shared" si="179"/>
        <v>15.818433324137933</v>
      </c>
      <c r="AS373" s="21">
        <f t="shared" si="180"/>
        <v>15.953523370953933</v>
      </c>
      <c r="AT373" s="41">
        <f t="shared" si="181"/>
        <v>4.3832350180530355</v>
      </c>
      <c r="AU373" s="4"/>
    </row>
    <row r="374" spans="2:47" x14ac:dyDescent="0.25">
      <c r="B374" s="4" t="s">
        <v>359</v>
      </c>
      <c r="C374" s="8">
        <v>101</v>
      </c>
      <c r="D374" s="4">
        <v>152</v>
      </c>
      <c r="E374">
        <f t="shared" si="191"/>
        <v>127</v>
      </c>
      <c r="F374" s="4">
        <v>1980</v>
      </c>
      <c r="G374" s="8">
        <v>1828.8</v>
      </c>
      <c r="H374" s="4">
        <v>100</v>
      </c>
      <c r="I374" s="4">
        <f t="shared" si="185"/>
        <v>101</v>
      </c>
      <c r="J374" s="4">
        <v>100</v>
      </c>
      <c r="K374" s="4">
        <f t="shared" si="186"/>
        <v>101</v>
      </c>
      <c r="L374">
        <f>4.4*E374</f>
        <v>558.80000000000007</v>
      </c>
      <c r="M374" s="4">
        <f t="shared" si="199"/>
        <v>458.80000000000007</v>
      </c>
      <c r="N374" s="4">
        <v>2</v>
      </c>
      <c r="O374">
        <f t="shared" si="193"/>
        <v>15.875</v>
      </c>
      <c r="P374" s="21">
        <f t="shared" si="201"/>
        <v>395.86521804492008</v>
      </c>
      <c r="Q374" s="29">
        <f t="shared" si="182"/>
        <v>3.0861870900827947E-2</v>
      </c>
      <c r="R374" s="21">
        <f t="shared" si="194"/>
        <v>275.86206896551727</v>
      </c>
      <c r="S374" s="41">
        <f t="shared" si="196"/>
        <v>4.4000000000000004</v>
      </c>
      <c r="T374" s="41">
        <f t="shared" si="197"/>
        <v>3.6125984251968508</v>
      </c>
      <c r="U374" s="4">
        <v>2</v>
      </c>
      <c r="V374">
        <v>33.22</v>
      </c>
      <c r="W374" s="4" t="s">
        <v>462</v>
      </c>
      <c r="X374" s="7">
        <v>0.5</v>
      </c>
      <c r="Y374">
        <v>25.4</v>
      </c>
      <c r="Z374" s="8">
        <v>0.22</v>
      </c>
      <c r="AA374" s="4">
        <v>0.25</v>
      </c>
      <c r="AB374" s="21">
        <f t="shared" si="190"/>
        <v>101.6</v>
      </c>
      <c r="AC374" s="4">
        <v>1100</v>
      </c>
      <c r="AD374" s="7">
        <f t="shared" si="171"/>
        <v>0.11176</v>
      </c>
      <c r="AE374" s="21">
        <f t="shared" si="200"/>
        <v>26892.468965517244</v>
      </c>
      <c r="AF374" s="21">
        <f t="shared" si="188"/>
        <v>53.784937931034491</v>
      </c>
      <c r="AG374" s="41">
        <f>304/145</f>
        <v>2.0965517241379312</v>
      </c>
      <c r="AH374" s="45">
        <f t="shared" si="172"/>
        <v>0.36375231614530734</v>
      </c>
      <c r="AI374" s="45">
        <f t="shared" si="173"/>
        <v>0.65218735171511122</v>
      </c>
      <c r="AJ374" s="21">
        <f t="shared" si="195"/>
        <v>26.892468965517246</v>
      </c>
      <c r="AK374" s="21">
        <f t="shared" si="174"/>
        <v>0.38380000000000003</v>
      </c>
      <c r="AL374" s="21">
        <f t="shared" si="198"/>
        <v>0.35094671999999999</v>
      </c>
      <c r="AM374" s="21">
        <f t="shared" si="189"/>
        <v>27.243415685517245</v>
      </c>
      <c r="AN374" s="41">
        <f t="shared" si="175"/>
        <v>2.1239117241379311</v>
      </c>
      <c r="AO374" s="41">
        <f t="shared" si="176"/>
        <v>0.36849928387100356</v>
      </c>
      <c r="AP374" s="41">
        <f t="shared" si="177"/>
        <v>0.66069839665499341</v>
      </c>
      <c r="AQ374" s="21">
        <f t="shared" si="178"/>
        <v>0.13509004681600001</v>
      </c>
      <c r="AR374" s="21">
        <f t="shared" si="179"/>
        <v>15.027511657931038</v>
      </c>
      <c r="AS374" s="21">
        <f t="shared" si="180"/>
        <v>15.162601704747038</v>
      </c>
      <c r="AT374" s="41">
        <f t="shared" si="181"/>
        <v>4.3823640171440061</v>
      </c>
      <c r="AU374" s="4"/>
    </row>
    <row r="375" spans="2:47" x14ac:dyDescent="0.25">
      <c r="B375" s="4" t="s">
        <v>360</v>
      </c>
      <c r="C375" s="8">
        <v>101</v>
      </c>
      <c r="D375" s="4">
        <v>152</v>
      </c>
      <c r="E375">
        <f t="shared" si="191"/>
        <v>127</v>
      </c>
      <c r="F375" s="4">
        <v>1980</v>
      </c>
      <c r="G375" s="8">
        <v>1828.8</v>
      </c>
      <c r="H375" s="4">
        <v>100</v>
      </c>
      <c r="I375" s="4">
        <f t="shared" si="185"/>
        <v>101</v>
      </c>
      <c r="J375" s="4">
        <v>100</v>
      </c>
      <c r="K375" s="4">
        <f t="shared" si="186"/>
        <v>101</v>
      </c>
      <c r="L375">
        <f>4*E375</f>
        <v>508</v>
      </c>
      <c r="M375" s="4">
        <f t="shared" si="199"/>
        <v>408</v>
      </c>
      <c r="N375" s="4">
        <v>2</v>
      </c>
      <c r="O375">
        <f t="shared" si="193"/>
        <v>15.875</v>
      </c>
      <c r="P375" s="21">
        <f t="shared" si="201"/>
        <v>395.86521804492008</v>
      </c>
      <c r="Q375" s="29">
        <f t="shared" si="182"/>
        <v>3.0861870900827947E-2</v>
      </c>
      <c r="R375" s="21">
        <f t="shared" si="194"/>
        <v>275.86206896551727</v>
      </c>
      <c r="S375" s="41">
        <f t="shared" si="196"/>
        <v>4</v>
      </c>
      <c r="T375" s="41">
        <f t="shared" si="197"/>
        <v>3.2125984251968505</v>
      </c>
      <c r="U375" s="4">
        <v>2</v>
      </c>
      <c r="V375">
        <v>33.22</v>
      </c>
      <c r="W375" s="4" t="s">
        <v>457</v>
      </c>
      <c r="X375" s="7">
        <f t="shared" si="183"/>
        <v>0.75</v>
      </c>
      <c r="Y375">
        <v>25.4</v>
      </c>
      <c r="Z375" s="8">
        <v>0.22</v>
      </c>
      <c r="AA375" s="4">
        <v>0.41</v>
      </c>
      <c r="AB375" s="21">
        <f t="shared" si="190"/>
        <v>61.951219512195124</v>
      </c>
      <c r="AC375" s="4">
        <v>1100</v>
      </c>
      <c r="AD375" s="7">
        <f t="shared" si="171"/>
        <v>0.10221951219512196</v>
      </c>
      <c r="AE375" s="21">
        <f t="shared" si="200"/>
        <v>30077.103448275862</v>
      </c>
      <c r="AF375" s="21">
        <f t="shared" si="188"/>
        <v>60.154206896551727</v>
      </c>
      <c r="AG375" s="41">
        <f>340/145</f>
        <v>2.3448275862068964</v>
      </c>
      <c r="AH375" s="45">
        <f t="shared" si="172"/>
        <v>0.40682824832040948</v>
      </c>
      <c r="AI375" s="45">
        <f t="shared" si="173"/>
        <v>0.72942006441821639</v>
      </c>
      <c r="AJ375" s="21">
        <f t="shared" si="195"/>
        <v>30.077103448275864</v>
      </c>
      <c r="AK375" s="21">
        <f t="shared" si="174"/>
        <v>0.38380000000000003</v>
      </c>
      <c r="AL375" s="21">
        <f t="shared" si="198"/>
        <v>0.35094671999999999</v>
      </c>
      <c r="AM375" s="21">
        <f t="shared" si="189"/>
        <v>30.428050168275863</v>
      </c>
      <c r="AN375" s="41">
        <f t="shared" si="175"/>
        <v>2.3721875862068966</v>
      </c>
      <c r="AO375" s="41">
        <f t="shared" si="176"/>
        <v>0.41157521604610575</v>
      </c>
      <c r="AP375" s="41">
        <f t="shared" si="177"/>
        <v>0.73793110935809869</v>
      </c>
      <c r="AQ375" s="21">
        <f t="shared" si="178"/>
        <v>0.12766167457600003</v>
      </c>
      <c r="AR375" s="21">
        <f t="shared" si="179"/>
        <v>15.279168551724139</v>
      </c>
      <c r="AS375" s="21">
        <f t="shared" si="180"/>
        <v>15.406830226300139</v>
      </c>
      <c r="AT375" s="41">
        <f t="shared" si="181"/>
        <v>3.986901006086021</v>
      </c>
      <c r="AU375" s="4"/>
    </row>
    <row r="376" spans="2:47" x14ac:dyDescent="0.25">
      <c r="B376" s="4" t="s">
        <v>361</v>
      </c>
      <c r="C376" s="8">
        <v>101</v>
      </c>
      <c r="D376" s="4">
        <v>152</v>
      </c>
      <c r="E376">
        <f t="shared" si="191"/>
        <v>127</v>
      </c>
      <c r="F376" s="4">
        <v>1980</v>
      </c>
      <c r="G376" s="8">
        <v>1828.8</v>
      </c>
      <c r="H376" s="4">
        <v>100</v>
      </c>
      <c r="I376" s="4">
        <f t="shared" si="185"/>
        <v>101</v>
      </c>
      <c r="J376" s="4">
        <v>100</v>
      </c>
      <c r="K376" s="4">
        <f t="shared" si="186"/>
        <v>101</v>
      </c>
      <c r="L376">
        <f>4*E376</f>
        <v>508</v>
      </c>
      <c r="M376" s="4">
        <f t="shared" si="199"/>
        <v>408</v>
      </c>
      <c r="N376" s="4">
        <v>2</v>
      </c>
      <c r="O376">
        <f t="shared" si="193"/>
        <v>15.875</v>
      </c>
      <c r="P376" s="21">
        <f t="shared" si="201"/>
        <v>395.86521804492008</v>
      </c>
      <c r="Q376" s="29">
        <f t="shared" si="182"/>
        <v>3.0861870900827947E-2</v>
      </c>
      <c r="R376" s="21">
        <f t="shared" si="194"/>
        <v>275.86206896551727</v>
      </c>
      <c r="S376" s="41">
        <f t="shared" si="196"/>
        <v>4</v>
      </c>
      <c r="T376" s="41">
        <f t="shared" si="197"/>
        <v>3.2125984251968505</v>
      </c>
      <c r="U376" s="4">
        <v>2</v>
      </c>
      <c r="V376">
        <v>33.22</v>
      </c>
      <c r="W376" s="4" t="s">
        <v>457</v>
      </c>
      <c r="X376" s="7">
        <f t="shared" si="183"/>
        <v>0.75</v>
      </c>
      <c r="Y376">
        <v>25.4</v>
      </c>
      <c r="Z376" s="8">
        <v>0.22</v>
      </c>
      <c r="AA376" s="4">
        <v>0.41</v>
      </c>
      <c r="AB376" s="21">
        <f t="shared" si="190"/>
        <v>61.951219512195124</v>
      </c>
      <c r="AC376" s="4">
        <v>1100</v>
      </c>
      <c r="AD376" s="7">
        <f t="shared" si="171"/>
        <v>0.10221951219512196</v>
      </c>
      <c r="AE376" s="21">
        <f t="shared" si="200"/>
        <v>30165.565517241379</v>
      </c>
      <c r="AF376" s="21">
        <f t="shared" si="188"/>
        <v>60.331131034482759</v>
      </c>
      <c r="AG376" s="41">
        <f>341/145</f>
        <v>2.3517241379310345</v>
      </c>
      <c r="AH376" s="45">
        <f t="shared" si="172"/>
        <v>0.40802480199194013</v>
      </c>
      <c r="AI376" s="45">
        <f t="shared" si="173"/>
        <v>0.73156541754885829</v>
      </c>
      <c r="AJ376" s="21">
        <f t="shared" si="195"/>
        <v>30.165565517241379</v>
      </c>
      <c r="AK376" s="21">
        <f t="shared" si="174"/>
        <v>0.38380000000000003</v>
      </c>
      <c r="AL376" s="21">
        <f t="shared" si="198"/>
        <v>0.35094671999999999</v>
      </c>
      <c r="AM376" s="21">
        <f t="shared" si="189"/>
        <v>30.516512237241379</v>
      </c>
      <c r="AN376" s="41">
        <f t="shared" si="175"/>
        <v>2.3790841379310343</v>
      </c>
      <c r="AO376" s="41">
        <f t="shared" si="176"/>
        <v>0.41277176971763635</v>
      </c>
      <c r="AP376" s="41">
        <f t="shared" si="177"/>
        <v>0.74007646248874048</v>
      </c>
      <c r="AQ376" s="21">
        <f t="shared" si="178"/>
        <v>0.12766167457600003</v>
      </c>
      <c r="AR376" s="21">
        <f t="shared" si="179"/>
        <v>15.324107282758622</v>
      </c>
      <c r="AS376" s="21">
        <f t="shared" si="180"/>
        <v>15.451768957334622</v>
      </c>
      <c r="AT376" s="41">
        <f t="shared" si="181"/>
        <v>3.9869389777943862</v>
      </c>
      <c r="AU376" s="4"/>
    </row>
    <row r="377" spans="2:47" x14ac:dyDescent="0.25">
      <c r="B377" s="4" t="s">
        <v>362</v>
      </c>
      <c r="C377" s="8">
        <v>101</v>
      </c>
      <c r="D377" s="4">
        <v>152</v>
      </c>
      <c r="E377">
        <f t="shared" si="191"/>
        <v>127</v>
      </c>
      <c r="F377" s="4">
        <v>1980</v>
      </c>
      <c r="G377" s="8">
        <v>1828.8</v>
      </c>
      <c r="H377" s="4">
        <v>100</v>
      </c>
      <c r="I377" s="4">
        <f t="shared" si="185"/>
        <v>101</v>
      </c>
      <c r="J377" s="4">
        <v>100</v>
      </c>
      <c r="K377" s="4">
        <f t="shared" si="186"/>
        <v>101</v>
      </c>
      <c r="L377">
        <f>4*E377</f>
        <v>508</v>
      </c>
      <c r="M377" s="4">
        <f t="shared" si="199"/>
        <v>408</v>
      </c>
      <c r="N377" s="4">
        <v>2</v>
      </c>
      <c r="O377">
        <f t="shared" si="193"/>
        <v>15.875</v>
      </c>
      <c r="P377" s="21">
        <f t="shared" si="201"/>
        <v>395.86521804492008</v>
      </c>
      <c r="Q377" s="29">
        <f t="shared" si="182"/>
        <v>3.0861870900827947E-2</v>
      </c>
      <c r="R377" s="21">
        <f t="shared" si="194"/>
        <v>275.86206896551727</v>
      </c>
      <c r="S377" s="41">
        <f t="shared" si="196"/>
        <v>4</v>
      </c>
      <c r="T377" s="41">
        <f t="shared" si="197"/>
        <v>3.2125984251968505</v>
      </c>
      <c r="U377" s="4">
        <v>2</v>
      </c>
      <c r="V377">
        <v>33.22</v>
      </c>
      <c r="W377" s="4" t="s">
        <v>457</v>
      </c>
      <c r="X377" s="7">
        <f t="shared" si="183"/>
        <v>0.75</v>
      </c>
      <c r="Y377">
        <v>25.4</v>
      </c>
      <c r="Z377" s="8">
        <v>0.22</v>
      </c>
      <c r="AA377" s="4">
        <v>0.41</v>
      </c>
      <c r="AB377" s="21">
        <f t="shared" si="190"/>
        <v>61.951219512195124</v>
      </c>
      <c r="AC377" s="4">
        <v>1100</v>
      </c>
      <c r="AD377" s="7">
        <f t="shared" si="171"/>
        <v>0.10221951219512196</v>
      </c>
      <c r="AE377" s="21">
        <f t="shared" si="200"/>
        <v>33084.813793103451</v>
      </c>
      <c r="AF377" s="21">
        <f t="shared" si="188"/>
        <v>66.1696275862069</v>
      </c>
      <c r="AG377" s="41">
        <f>374/145</f>
        <v>2.579310344827586</v>
      </c>
      <c r="AH377" s="45">
        <f t="shared" si="172"/>
        <v>0.44751107315245042</v>
      </c>
      <c r="AI377" s="45">
        <f t="shared" si="173"/>
        <v>0.80236207086003808</v>
      </c>
      <c r="AJ377" s="21">
        <f t="shared" si="195"/>
        <v>33.08481379310345</v>
      </c>
      <c r="AK377" s="21">
        <f t="shared" si="174"/>
        <v>0.38380000000000003</v>
      </c>
      <c r="AL377" s="21">
        <f t="shared" si="198"/>
        <v>0.35094671999999999</v>
      </c>
      <c r="AM377" s="21">
        <f t="shared" si="189"/>
        <v>33.435760513103453</v>
      </c>
      <c r="AN377" s="41">
        <f t="shared" si="175"/>
        <v>2.6066703448275863</v>
      </c>
      <c r="AO377" s="41">
        <f t="shared" si="176"/>
        <v>0.45225804087814669</v>
      </c>
      <c r="AP377" s="41">
        <f t="shared" si="177"/>
        <v>0.81087311579992039</v>
      </c>
      <c r="AQ377" s="21">
        <f t="shared" si="178"/>
        <v>0.12766167457600003</v>
      </c>
      <c r="AR377" s="21">
        <f t="shared" si="179"/>
        <v>16.807085406896555</v>
      </c>
      <c r="AS377" s="21">
        <f t="shared" si="180"/>
        <v>16.934747081472555</v>
      </c>
      <c r="AT377" s="41">
        <f t="shared" si="181"/>
        <v>3.9880793247154553</v>
      </c>
      <c r="AU377" s="4"/>
    </row>
    <row r="378" spans="2:47" x14ac:dyDescent="0.25">
      <c r="B378" s="4" t="s">
        <v>289</v>
      </c>
      <c r="C378" s="8">
        <v>101</v>
      </c>
      <c r="D378" s="4">
        <v>152</v>
      </c>
      <c r="E378">
        <f t="shared" si="191"/>
        <v>127</v>
      </c>
      <c r="F378" s="4">
        <v>1980</v>
      </c>
      <c r="G378" s="8">
        <v>1828.8</v>
      </c>
      <c r="H378" s="4">
        <v>100</v>
      </c>
      <c r="I378" s="4">
        <f t="shared" si="185"/>
        <v>101</v>
      </c>
      <c r="J378" s="4">
        <v>100</v>
      </c>
      <c r="K378" s="4">
        <f t="shared" si="186"/>
        <v>101</v>
      </c>
      <c r="L378">
        <f>4.6*E378</f>
        <v>584.19999999999993</v>
      </c>
      <c r="M378" s="4">
        <f t="shared" si="199"/>
        <v>484.19999999999993</v>
      </c>
      <c r="N378" s="4">
        <v>2</v>
      </c>
      <c r="O378">
        <f t="shared" si="193"/>
        <v>15.875</v>
      </c>
      <c r="P378" s="21">
        <f t="shared" si="201"/>
        <v>395.86521804492008</v>
      </c>
      <c r="Q378" s="29">
        <f t="shared" si="182"/>
        <v>3.0861870900827947E-2</v>
      </c>
      <c r="R378" s="21">
        <f t="shared" si="194"/>
        <v>275.86206896551727</v>
      </c>
      <c r="S378" s="41">
        <f t="shared" si="196"/>
        <v>4.5999999999999996</v>
      </c>
      <c r="T378" s="41">
        <f t="shared" si="197"/>
        <v>3.8125984251968497</v>
      </c>
      <c r="U378" s="4">
        <v>2</v>
      </c>
      <c r="V378">
        <v>33.22</v>
      </c>
      <c r="W378" s="4" t="s">
        <v>457</v>
      </c>
      <c r="X378" s="7">
        <f t="shared" si="183"/>
        <v>0.75</v>
      </c>
      <c r="Y378">
        <v>25.4</v>
      </c>
      <c r="Z378" s="8">
        <v>0.22</v>
      </c>
      <c r="AA378" s="4">
        <v>0.41</v>
      </c>
      <c r="AB378" s="21">
        <f t="shared" si="190"/>
        <v>61.951219512195124</v>
      </c>
      <c r="AC378" s="4">
        <v>1100</v>
      </c>
      <c r="AD378" s="7">
        <f t="shared" si="171"/>
        <v>0.10221951219512196</v>
      </c>
      <c r="AE378" s="21">
        <f t="shared" si="200"/>
        <v>25830.924137931033</v>
      </c>
      <c r="AF378" s="21">
        <f t="shared" si="188"/>
        <v>51.66184827586207</v>
      </c>
      <c r="AG378" s="41">
        <f>292/145</f>
        <v>2.0137931034482759</v>
      </c>
      <c r="AH378" s="45">
        <f t="shared" si="172"/>
        <v>0.34939367208693994</v>
      </c>
      <c r="AI378" s="45">
        <f t="shared" si="173"/>
        <v>0.6264431141474095</v>
      </c>
      <c r="AJ378" s="21">
        <f t="shared" si="195"/>
        <v>25.830924137931035</v>
      </c>
      <c r="AK378" s="21">
        <f t="shared" si="174"/>
        <v>0.38380000000000003</v>
      </c>
      <c r="AL378" s="21">
        <f t="shared" si="198"/>
        <v>0.35094671999999999</v>
      </c>
      <c r="AM378" s="21">
        <f t="shared" si="189"/>
        <v>26.181870857931035</v>
      </c>
      <c r="AN378" s="41">
        <f t="shared" si="175"/>
        <v>2.0411531034482757</v>
      </c>
      <c r="AO378" s="41">
        <f t="shared" si="176"/>
        <v>0.35414063981263616</v>
      </c>
      <c r="AP378" s="41">
        <f t="shared" si="177"/>
        <v>0.63495415908729158</v>
      </c>
      <c r="AQ378" s="21">
        <f t="shared" si="178"/>
        <v>0.13843281432399998</v>
      </c>
      <c r="AR378" s="21">
        <f t="shared" si="179"/>
        <v>15.090425881379309</v>
      </c>
      <c r="AS378" s="21">
        <f t="shared" si="180"/>
        <v>15.228858695703309</v>
      </c>
      <c r="AT378" s="41">
        <f t="shared" si="181"/>
        <v>4.5799734421266667</v>
      </c>
      <c r="AU378" s="4"/>
    </row>
    <row r="379" spans="2:47" x14ac:dyDescent="0.25">
      <c r="B379" s="4" t="s">
        <v>290</v>
      </c>
      <c r="C379" s="8">
        <v>101</v>
      </c>
      <c r="D379" s="4">
        <v>152</v>
      </c>
      <c r="E379">
        <f t="shared" si="191"/>
        <v>127</v>
      </c>
      <c r="F379" s="4">
        <v>1980</v>
      </c>
      <c r="G379" s="8">
        <v>1828.8</v>
      </c>
      <c r="H379" s="4">
        <v>100</v>
      </c>
      <c r="I379" s="4">
        <f t="shared" si="185"/>
        <v>101</v>
      </c>
      <c r="J379" s="4">
        <v>100</v>
      </c>
      <c r="K379" s="4">
        <f t="shared" si="186"/>
        <v>101</v>
      </c>
      <c r="L379">
        <f>4.4*E379</f>
        <v>558.80000000000007</v>
      </c>
      <c r="M379" s="4">
        <f t="shared" si="199"/>
        <v>458.80000000000007</v>
      </c>
      <c r="N379" s="4">
        <v>2</v>
      </c>
      <c r="O379">
        <f t="shared" si="193"/>
        <v>15.875</v>
      </c>
      <c r="P379" s="21">
        <f t="shared" si="201"/>
        <v>395.86521804492008</v>
      </c>
      <c r="Q379" s="29">
        <f t="shared" si="182"/>
        <v>3.0861870900827947E-2</v>
      </c>
      <c r="R379" s="21">
        <f t="shared" si="194"/>
        <v>275.86206896551727</v>
      </c>
      <c r="S379" s="41">
        <f t="shared" si="196"/>
        <v>4.4000000000000004</v>
      </c>
      <c r="T379" s="41">
        <f t="shared" si="197"/>
        <v>3.6125984251968508</v>
      </c>
      <c r="U379" s="4">
        <v>2</v>
      </c>
      <c r="V379">
        <v>33.22</v>
      </c>
      <c r="W379" s="4" t="s">
        <v>457</v>
      </c>
      <c r="X379" s="7">
        <f t="shared" si="183"/>
        <v>0.75</v>
      </c>
      <c r="Y379">
        <v>25.4</v>
      </c>
      <c r="Z379" s="8">
        <v>0.22</v>
      </c>
      <c r="AA379" s="4">
        <v>0.41</v>
      </c>
      <c r="AB379" s="21">
        <f t="shared" si="190"/>
        <v>61.951219512195124</v>
      </c>
      <c r="AC379" s="4">
        <v>1100</v>
      </c>
      <c r="AD379" s="7">
        <f t="shared" si="171"/>
        <v>0.10221951219512196</v>
      </c>
      <c r="AE379" s="21">
        <f t="shared" si="200"/>
        <v>27069.393103448281</v>
      </c>
      <c r="AF379" s="21">
        <f t="shared" si="188"/>
        <v>54.138786206896562</v>
      </c>
      <c r="AG379" s="41">
        <f>306/145</f>
        <v>2.1103448275862071</v>
      </c>
      <c r="AH379" s="45">
        <f t="shared" si="172"/>
        <v>0.36614542348836859</v>
      </c>
      <c r="AI379" s="45">
        <f t="shared" si="173"/>
        <v>0.65647805797639491</v>
      </c>
      <c r="AJ379" s="21">
        <f t="shared" si="195"/>
        <v>27.069393103448281</v>
      </c>
      <c r="AK379" s="21">
        <f t="shared" si="174"/>
        <v>0.38380000000000003</v>
      </c>
      <c r="AL379" s="21">
        <f t="shared" si="198"/>
        <v>0.35094671999999999</v>
      </c>
      <c r="AM379" s="21">
        <f t="shared" si="189"/>
        <v>27.42033982344828</v>
      </c>
      <c r="AN379" s="41">
        <f t="shared" si="175"/>
        <v>2.1377048275862074</v>
      </c>
      <c r="AO379" s="41">
        <f t="shared" si="176"/>
        <v>0.37089239121406486</v>
      </c>
      <c r="AP379" s="41">
        <f t="shared" si="177"/>
        <v>0.66498910291627722</v>
      </c>
      <c r="AQ379" s="21">
        <f t="shared" si="178"/>
        <v>0.13509004681600001</v>
      </c>
      <c r="AR379" s="21">
        <f t="shared" si="179"/>
        <v>15.126376866206902</v>
      </c>
      <c r="AS379" s="21">
        <f t="shared" si="180"/>
        <v>15.261466913022902</v>
      </c>
      <c r="AT379" s="41">
        <f t="shared" si="181"/>
        <v>4.3824778097185497</v>
      </c>
      <c r="AU379" s="4"/>
    </row>
    <row r="380" spans="2:47" x14ac:dyDescent="0.25">
      <c r="B380" s="4" t="s">
        <v>291</v>
      </c>
      <c r="C380" s="8">
        <v>101</v>
      </c>
      <c r="D380" s="4">
        <v>152</v>
      </c>
      <c r="E380">
        <f t="shared" si="191"/>
        <v>127</v>
      </c>
      <c r="F380" s="4">
        <v>1980</v>
      </c>
      <c r="G380" s="8">
        <v>1828.8</v>
      </c>
      <c r="H380" s="4">
        <v>100</v>
      </c>
      <c r="I380" s="4">
        <f t="shared" si="185"/>
        <v>101</v>
      </c>
      <c r="J380" s="4">
        <v>100</v>
      </c>
      <c r="K380" s="4">
        <f t="shared" si="186"/>
        <v>101</v>
      </c>
      <c r="L380">
        <f>4.4*E380</f>
        <v>558.80000000000007</v>
      </c>
      <c r="M380" s="4">
        <f t="shared" si="199"/>
        <v>458.80000000000007</v>
      </c>
      <c r="N380" s="4">
        <v>2</v>
      </c>
      <c r="O380">
        <f t="shared" si="193"/>
        <v>15.875</v>
      </c>
      <c r="P380" s="21">
        <f t="shared" si="201"/>
        <v>395.86521804492008</v>
      </c>
      <c r="Q380" s="29">
        <f t="shared" si="182"/>
        <v>3.0861870900827947E-2</v>
      </c>
      <c r="R380" s="21">
        <f t="shared" si="194"/>
        <v>275.86206896551727</v>
      </c>
      <c r="S380" s="41">
        <f t="shared" si="196"/>
        <v>4.4000000000000004</v>
      </c>
      <c r="T380" s="41">
        <f t="shared" si="197"/>
        <v>3.6125984251968508</v>
      </c>
      <c r="U380" s="4">
        <v>2</v>
      </c>
      <c r="V380">
        <v>33.22</v>
      </c>
      <c r="W380" s="4" t="s">
        <v>457</v>
      </c>
      <c r="X380" s="7">
        <f t="shared" si="183"/>
        <v>0.75</v>
      </c>
      <c r="Y380">
        <v>25.4</v>
      </c>
      <c r="Z380" s="8">
        <v>0.22</v>
      </c>
      <c r="AA380" s="4">
        <v>0.41</v>
      </c>
      <c r="AB380" s="21">
        <f t="shared" si="190"/>
        <v>61.951219512195124</v>
      </c>
      <c r="AC380" s="4">
        <v>1100</v>
      </c>
      <c r="AD380" s="7">
        <f t="shared" si="171"/>
        <v>0.10221951219512196</v>
      </c>
      <c r="AE380" s="21">
        <f t="shared" si="200"/>
        <v>25654</v>
      </c>
      <c r="AF380" s="21">
        <f t="shared" si="188"/>
        <v>51.308</v>
      </c>
      <c r="AG380" s="41">
        <f>290/145</f>
        <v>2</v>
      </c>
      <c r="AH380" s="45">
        <f t="shared" si="172"/>
        <v>0.34700056474387869</v>
      </c>
      <c r="AI380" s="45">
        <f t="shared" si="173"/>
        <v>0.6221524078861258</v>
      </c>
      <c r="AJ380" s="21">
        <f t="shared" si="195"/>
        <v>25.654</v>
      </c>
      <c r="AK380" s="21">
        <f t="shared" si="174"/>
        <v>0.38380000000000003</v>
      </c>
      <c r="AL380" s="21">
        <f t="shared" si="198"/>
        <v>0.35094671999999999</v>
      </c>
      <c r="AM380" s="21">
        <f t="shared" si="189"/>
        <v>26.00494672</v>
      </c>
      <c r="AN380" s="41">
        <f t="shared" si="175"/>
        <v>2.0273599999999998</v>
      </c>
      <c r="AO380" s="41">
        <f t="shared" si="176"/>
        <v>0.35174753246957491</v>
      </c>
      <c r="AP380" s="41">
        <f t="shared" si="177"/>
        <v>0.630663452826008</v>
      </c>
      <c r="AQ380" s="21">
        <f t="shared" si="178"/>
        <v>0.13509004681600001</v>
      </c>
      <c r="AR380" s="21">
        <f t="shared" si="179"/>
        <v>14.335455200000002</v>
      </c>
      <c r="AS380" s="21">
        <f t="shared" si="180"/>
        <v>14.470545246816002</v>
      </c>
      <c r="AT380" s="41">
        <f t="shared" si="181"/>
        <v>4.38152411473318</v>
      </c>
      <c r="AU380" s="4"/>
    </row>
    <row r="381" spans="2:47" x14ac:dyDescent="0.25">
      <c r="B381" s="4" t="s">
        <v>363</v>
      </c>
      <c r="C381" s="8">
        <v>101</v>
      </c>
      <c r="D381" s="4">
        <v>152</v>
      </c>
      <c r="E381">
        <f t="shared" si="191"/>
        <v>127</v>
      </c>
      <c r="F381" s="4">
        <v>1980</v>
      </c>
      <c r="G381" s="8">
        <v>1828.8</v>
      </c>
      <c r="H381" s="4">
        <v>100</v>
      </c>
      <c r="I381" s="4">
        <f t="shared" si="185"/>
        <v>101</v>
      </c>
      <c r="J381" s="4">
        <v>100</v>
      </c>
      <c r="K381" s="4">
        <f t="shared" si="186"/>
        <v>101</v>
      </c>
      <c r="L381">
        <f>5*E381</f>
        <v>635</v>
      </c>
      <c r="M381" s="4">
        <f t="shared" si="199"/>
        <v>535</v>
      </c>
      <c r="N381" s="4">
        <v>2</v>
      </c>
      <c r="O381">
        <f t="shared" si="193"/>
        <v>15.875</v>
      </c>
      <c r="P381" s="21">
        <f t="shared" si="201"/>
        <v>395.86521804492008</v>
      </c>
      <c r="Q381" s="29">
        <f t="shared" si="182"/>
        <v>3.0861870900827947E-2</v>
      </c>
      <c r="R381" s="21">
        <f t="shared" si="194"/>
        <v>275.86206896551727</v>
      </c>
      <c r="S381" s="41">
        <f t="shared" si="196"/>
        <v>5</v>
      </c>
      <c r="T381" s="41">
        <f t="shared" si="197"/>
        <v>4.21259842519685</v>
      </c>
      <c r="U381" s="4">
        <v>2</v>
      </c>
      <c r="V381">
        <v>33.22</v>
      </c>
      <c r="W381" s="4" t="s">
        <v>457</v>
      </c>
      <c r="X381" s="7">
        <f t="shared" si="183"/>
        <v>0.75</v>
      </c>
      <c r="Y381">
        <v>25.4</v>
      </c>
      <c r="Z381" s="8">
        <v>0.22</v>
      </c>
      <c r="AA381" s="4">
        <v>0.41</v>
      </c>
      <c r="AB381" s="21">
        <f t="shared" si="190"/>
        <v>61.951219512195124</v>
      </c>
      <c r="AC381" s="4">
        <v>1100</v>
      </c>
      <c r="AD381" s="7">
        <f t="shared" si="171"/>
        <v>0.10221951219512196</v>
      </c>
      <c r="AE381" s="21">
        <f t="shared" si="200"/>
        <v>24327.068965517243</v>
      </c>
      <c r="AF381" s="21">
        <f t="shared" si="188"/>
        <v>48.654137931034484</v>
      </c>
      <c r="AG381" s="41">
        <f>275/145</f>
        <v>1.896551724137931</v>
      </c>
      <c r="AH381" s="45">
        <f t="shared" si="172"/>
        <v>0.32905225967091944</v>
      </c>
      <c r="AI381" s="45">
        <f t="shared" si="173"/>
        <v>0.58997211092649859</v>
      </c>
      <c r="AJ381" s="21">
        <f t="shared" si="195"/>
        <v>24.327068965517242</v>
      </c>
      <c r="AK381" s="21">
        <f t="shared" si="174"/>
        <v>0.38380000000000003</v>
      </c>
      <c r="AL381" s="21">
        <f t="shared" si="198"/>
        <v>0.35094671999999999</v>
      </c>
      <c r="AM381" s="21">
        <f t="shared" si="189"/>
        <v>24.678015685517241</v>
      </c>
      <c r="AN381" s="41">
        <f t="shared" si="175"/>
        <v>1.9239117241379311</v>
      </c>
      <c r="AO381" s="41">
        <f t="shared" si="176"/>
        <v>0.33379922739661572</v>
      </c>
      <c r="AP381" s="41">
        <f t="shared" si="177"/>
        <v>0.59848315586638079</v>
      </c>
      <c r="AQ381" s="21">
        <f t="shared" si="178"/>
        <v>0.14437551211600003</v>
      </c>
      <c r="AR381" s="21">
        <f t="shared" si="179"/>
        <v>15.447688793103449</v>
      </c>
      <c r="AS381" s="21">
        <f t="shared" si="180"/>
        <v>15.592064305219449</v>
      </c>
      <c r="AT381" s="41">
        <f t="shared" si="181"/>
        <v>4.9749607686516244</v>
      </c>
      <c r="AU381" s="4"/>
    </row>
    <row r="382" spans="2:47" x14ac:dyDescent="0.25">
      <c r="B382" s="4" t="s">
        <v>364</v>
      </c>
      <c r="C382" s="8">
        <v>101</v>
      </c>
      <c r="D382" s="4">
        <v>152</v>
      </c>
      <c r="E382">
        <f t="shared" si="191"/>
        <v>127</v>
      </c>
      <c r="F382" s="4">
        <v>1980</v>
      </c>
      <c r="G382" s="8">
        <v>1828.8</v>
      </c>
      <c r="H382" s="4">
        <v>100</v>
      </c>
      <c r="I382" s="4">
        <f t="shared" si="185"/>
        <v>101</v>
      </c>
      <c r="J382" s="4">
        <v>100</v>
      </c>
      <c r="K382" s="4">
        <f t="shared" si="186"/>
        <v>101</v>
      </c>
      <c r="L382">
        <f>4.8*E382</f>
        <v>609.6</v>
      </c>
      <c r="M382" s="4">
        <f t="shared" si="199"/>
        <v>509.6</v>
      </c>
      <c r="N382" s="4">
        <v>2</v>
      </c>
      <c r="O382">
        <f t="shared" si="193"/>
        <v>15.875</v>
      </c>
      <c r="P382" s="21">
        <f t="shared" si="201"/>
        <v>395.86521804492008</v>
      </c>
      <c r="Q382" s="29">
        <f t="shared" si="182"/>
        <v>3.0861870900827947E-2</v>
      </c>
      <c r="R382" s="21">
        <f t="shared" si="194"/>
        <v>275.86206896551727</v>
      </c>
      <c r="S382" s="41">
        <f t="shared" si="196"/>
        <v>4.8</v>
      </c>
      <c r="T382" s="41">
        <f t="shared" si="197"/>
        <v>4.0125984251968507</v>
      </c>
      <c r="U382" s="4">
        <v>2</v>
      </c>
      <c r="V382">
        <v>33.22</v>
      </c>
      <c r="W382" s="4" t="s">
        <v>457</v>
      </c>
      <c r="X382" s="7">
        <f t="shared" si="183"/>
        <v>0.75</v>
      </c>
      <c r="Y382">
        <v>25.4</v>
      </c>
      <c r="Z382" s="8">
        <v>0.22</v>
      </c>
      <c r="AA382" s="4">
        <v>0.41</v>
      </c>
      <c r="AB382" s="21">
        <f t="shared" si="190"/>
        <v>61.951219512195124</v>
      </c>
      <c r="AC382" s="4">
        <v>1100</v>
      </c>
      <c r="AD382" s="7">
        <f t="shared" si="171"/>
        <v>0.10221951219512196</v>
      </c>
      <c r="AE382" s="21">
        <f t="shared" si="200"/>
        <v>22282.33142857143</v>
      </c>
      <c r="AF382" s="21">
        <f t="shared" si="188"/>
        <v>44.564662857142856</v>
      </c>
      <c r="AG382" s="41">
        <f>304/175</f>
        <v>1.7371428571428571</v>
      </c>
      <c r="AH382" s="45">
        <f t="shared" si="172"/>
        <v>0.30139477623468319</v>
      </c>
      <c r="AI382" s="45">
        <f t="shared" si="173"/>
        <v>0.54038380570680644</v>
      </c>
      <c r="AJ382" s="21">
        <f t="shared" si="195"/>
        <v>22.282331428571428</v>
      </c>
      <c r="AK382" s="21">
        <f t="shared" si="174"/>
        <v>0.38380000000000003</v>
      </c>
      <c r="AL382" s="21">
        <f t="shared" si="198"/>
        <v>0.35094671999999999</v>
      </c>
      <c r="AM382" s="21">
        <f t="shared" si="189"/>
        <v>22.633278148571428</v>
      </c>
      <c r="AN382" s="41">
        <f t="shared" si="175"/>
        <v>1.7645028571428572</v>
      </c>
      <c r="AO382" s="41">
        <f t="shared" si="176"/>
        <v>0.30614174396037946</v>
      </c>
      <c r="AP382" s="41">
        <f t="shared" si="177"/>
        <v>0.54889485064668864</v>
      </c>
      <c r="AQ382" s="21">
        <f t="shared" si="178"/>
        <v>0.14152796942400003</v>
      </c>
      <c r="AR382" s="21">
        <f t="shared" si="179"/>
        <v>13.583309238857144</v>
      </c>
      <c r="AS382" s="21">
        <f t="shared" si="180"/>
        <v>13.724837208281144</v>
      </c>
      <c r="AT382" s="41">
        <f t="shared" si="181"/>
        <v>4.7748091817620999</v>
      </c>
      <c r="AU382" s="4"/>
    </row>
    <row r="383" spans="2:47" x14ac:dyDescent="0.25">
      <c r="B383" s="4" t="s">
        <v>365</v>
      </c>
      <c r="C383" s="8">
        <v>101</v>
      </c>
      <c r="D383" s="4">
        <v>152</v>
      </c>
      <c r="E383">
        <f t="shared" si="191"/>
        <v>127</v>
      </c>
      <c r="F383" s="4">
        <v>1980</v>
      </c>
      <c r="G383" s="8">
        <v>1828.8</v>
      </c>
      <c r="H383" s="4">
        <v>100</v>
      </c>
      <c r="I383" s="4">
        <f t="shared" si="185"/>
        <v>101</v>
      </c>
      <c r="J383" s="4">
        <v>100</v>
      </c>
      <c r="K383" s="4">
        <f t="shared" si="186"/>
        <v>101</v>
      </c>
      <c r="L383">
        <f>4*E383</f>
        <v>508</v>
      </c>
      <c r="M383" s="4">
        <f t="shared" si="199"/>
        <v>408</v>
      </c>
      <c r="N383" s="4">
        <v>2</v>
      </c>
      <c r="O383">
        <f t="shared" si="193"/>
        <v>15.875</v>
      </c>
      <c r="P383" s="21">
        <f t="shared" si="201"/>
        <v>395.86521804492008</v>
      </c>
      <c r="Q383" s="29">
        <f t="shared" si="182"/>
        <v>3.0861870900827947E-2</v>
      </c>
      <c r="R383" s="21">
        <f t="shared" si="194"/>
        <v>275.86206896551727</v>
      </c>
      <c r="S383" s="41">
        <f t="shared" si="196"/>
        <v>4</v>
      </c>
      <c r="T383" s="41">
        <f t="shared" si="197"/>
        <v>3.2125984251968505</v>
      </c>
      <c r="U383" s="4">
        <v>2</v>
      </c>
      <c r="V383">
        <v>40.21</v>
      </c>
      <c r="W383" s="4" t="s">
        <v>457</v>
      </c>
      <c r="X383" s="7">
        <f t="shared" si="183"/>
        <v>0.75</v>
      </c>
      <c r="Y383">
        <v>25.4</v>
      </c>
      <c r="Z383" s="8">
        <v>0.44</v>
      </c>
      <c r="AA383" s="4">
        <v>0.41</v>
      </c>
      <c r="AB383" s="21">
        <f t="shared" si="190"/>
        <v>61.951219512195124</v>
      </c>
      <c r="AC383" s="4">
        <v>1100</v>
      </c>
      <c r="AD383" s="7">
        <f t="shared" si="171"/>
        <v>0.20443902439024392</v>
      </c>
      <c r="AE383" s="21">
        <f t="shared" si="200"/>
        <v>31404.03448275862</v>
      </c>
      <c r="AF383" s="21">
        <f t="shared" si="188"/>
        <v>62.808068965517236</v>
      </c>
      <c r="AG383" s="41">
        <f>355/145</f>
        <v>2.4482758620689653</v>
      </c>
      <c r="AH383" s="45">
        <f t="shared" si="172"/>
        <v>0.38609423260181491</v>
      </c>
      <c r="AI383" s="45">
        <f t="shared" si="173"/>
        <v>0.7146317814540476</v>
      </c>
      <c r="AJ383" s="21">
        <f t="shared" si="195"/>
        <v>31.404034482758618</v>
      </c>
      <c r="AK383" s="21">
        <f t="shared" si="174"/>
        <v>0.38380000000000003</v>
      </c>
      <c r="AL383" s="21">
        <f t="shared" si="198"/>
        <v>0.35094671999999999</v>
      </c>
      <c r="AM383" s="21">
        <f t="shared" si="189"/>
        <v>31.754981202758618</v>
      </c>
      <c r="AN383" s="41">
        <f t="shared" si="175"/>
        <v>2.4756358620689656</v>
      </c>
      <c r="AO383" s="41">
        <f t="shared" si="176"/>
        <v>0.39040891722034432</v>
      </c>
      <c r="AP383" s="41">
        <f t="shared" si="177"/>
        <v>0.72261794259034207</v>
      </c>
      <c r="AQ383" s="21">
        <f t="shared" si="178"/>
        <v>0.12766167457600003</v>
      </c>
      <c r="AR383" s="21">
        <f t="shared" si="179"/>
        <v>15.953249517241378</v>
      </c>
      <c r="AS383" s="21">
        <f t="shared" si="180"/>
        <v>16.080911191817378</v>
      </c>
      <c r="AT383" s="41">
        <f t="shared" si="181"/>
        <v>3.9874483678190975</v>
      </c>
      <c r="AU383" s="4"/>
    </row>
    <row r="384" spans="2:47" x14ac:dyDescent="0.25">
      <c r="B384" s="4" t="s">
        <v>366</v>
      </c>
      <c r="C384" s="8">
        <v>101</v>
      </c>
      <c r="D384" s="4">
        <v>152</v>
      </c>
      <c r="E384">
        <f t="shared" si="191"/>
        <v>127</v>
      </c>
      <c r="F384" s="4">
        <v>1980</v>
      </c>
      <c r="G384" s="8">
        <v>1828.8</v>
      </c>
      <c r="H384" s="4">
        <v>100</v>
      </c>
      <c r="I384" s="4">
        <f t="shared" si="185"/>
        <v>101</v>
      </c>
      <c r="J384" s="4">
        <v>100</v>
      </c>
      <c r="K384" s="4">
        <f t="shared" si="186"/>
        <v>101</v>
      </c>
      <c r="L384">
        <f>4.2*E384</f>
        <v>533.4</v>
      </c>
      <c r="M384" s="4">
        <f t="shared" si="199"/>
        <v>433.4</v>
      </c>
      <c r="N384" s="4">
        <v>2</v>
      </c>
      <c r="O384">
        <f t="shared" si="193"/>
        <v>15.875</v>
      </c>
      <c r="P384" s="21">
        <f t="shared" si="201"/>
        <v>395.86521804492008</v>
      </c>
      <c r="Q384" s="29">
        <f t="shared" si="182"/>
        <v>3.0861870900827947E-2</v>
      </c>
      <c r="R384" s="21">
        <f t="shared" si="194"/>
        <v>275.86206896551727</v>
      </c>
      <c r="S384" s="41">
        <f t="shared" si="196"/>
        <v>4.2</v>
      </c>
      <c r="T384" s="41">
        <f t="shared" si="197"/>
        <v>3.4125984251968502</v>
      </c>
      <c r="U384" s="4">
        <v>2</v>
      </c>
      <c r="V384">
        <v>40.21</v>
      </c>
      <c r="W384" s="4" t="s">
        <v>457</v>
      </c>
      <c r="X384" s="7">
        <f t="shared" si="183"/>
        <v>0.75</v>
      </c>
      <c r="Y384">
        <v>25.4</v>
      </c>
      <c r="Z384" s="8">
        <v>0.44</v>
      </c>
      <c r="AA384" s="4">
        <v>0.41</v>
      </c>
      <c r="AB384" s="21">
        <f t="shared" si="190"/>
        <v>61.951219512195124</v>
      </c>
      <c r="AC384" s="4">
        <v>1100</v>
      </c>
      <c r="AD384" s="7">
        <f t="shared" si="171"/>
        <v>0.20443902439024392</v>
      </c>
      <c r="AE384" s="21">
        <f t="shared" si="200"/>
        <v>33704.048275862071</v>
      </c>
      <c r="AF384" s="21">
        <f t="shared" si="188"/>
        <v>67.408096551724142</v>
      </c>
      <c r="AG384" s="41">
        <f>381/145</f>
        <v>2.6275862068965519</v>
      </c>
      <c r="AH384" s="45">
        <f t="shared" si="172"/>
        <v>0.41437155667969439</v>
      </c>
      <c r="AI384" s="45">
        <f t="shared" si="173"/>
        <v>0.76697101051828787</v>
      </c>
      <c r="AJ384" s="21">
        <f t="shared" si="195"/>
        <v>33.704048275862071</v>
      </c>
      <c r="AK384" s="21">
        <f t="shared" si="174"/>
        <v>0.38380000000000003</v>
      </c>
      <c r="AL384" s="21">
        <f t="shared" si="198"/>
        <v>0.35094671999999999</v>
      </c>
      <c r="AM384" s="21">
        <f t="shared" si="189"/>
        <v>34.054994995862074</v>
      </c>
      <c r="AN384" s="41">
        <f t="shared" si="175"/>
        <v>2.6549462068965517</v>
      </c>
      <c r="AO384" s="41">
        <f t="shared" si="176"/>
        <v>0.41868624129822368</v>
      </c>
      <c r="AP384" s="41">
        <f t="shared" si="177"/>
        <v>0.77495717165458211</v>
      </c>
      <c r="AQ384" s="21">
        <f t="shared" si="178"/>
        <v>0.13149966690000001</v>
      </c>
      <c r="AR384" s="21">
        <f t="shared" si="179"/>
        <v>17.97773935034483</v>
      </c>
      <c r="AS384" s="21">
        <f t="shared" si="180"/>
        <v>18.109239017244832</v>
      </c>
      <c r="AT384" s="41">
        <f t="shared" si="181"/>
        <v>4.187122424301581</v>
      </c>
      <c r="AU384" s="4"/>
    </row>
    <row r="385" spans="1:59" x14ac:dyDescent="0.25">
      <c r="B385" s="4" t="s">
        <v>367</v>
      </c>
      <c r="C385" s="8">
        <v>101</v>
      </c>
      <c r="D385" s="4">
        <v>152</v>
      </c>
      <c r="E385">
        <f t="shared" si="191"/>
        <v>127</v>
      </c>
      <c r="F385" s="4">
        <v>1980</v>
      </c>
      <c r="G385" s="8">
        <v>1828.8</v>
      </c>
      <c r="H385" s="4">
        <v>100</v>
      </c>
      <c r="I385" s="4">
        <f t="shared" si="185"/>
        <v>101</v>
      </c>
      <c r="J385" s="4">
        <v>100</v>
      </c>
      <c r="K385" s="4">
        <f t="shared" si="186"/>
        <v>101</v>
      </c>
      <c r="L385">
        <f>4.2*E385</f>
        <v>533.4</v>
      </c>
      <c r="M385" s="4">
        <f t="shared" si="199"/>
        <v>433.4</v>
      </c>
      <c r="N385" s="4">
        <v>2</v>
      </c>
      <c r="O385">
        <f t="shared" si="193"/>
        <v>15.875</v>
      </c>
      <c r="P385" s="21">
        <f t="shared" si="201"/>
        <v>395.86521804492008</v>
      </c>
      <c r="Q385" s="29">
        <f t="shared" si="182"/>
        <v>3.0861870900827947E-2</v>
      </c>
      <c r="R385" s="21">
        <f t="shared" si="194"/>
        <v>275.86206896551727</v>
      </c>
      <c r="S385" s="41">
        <f t="shared" si="196"/>
        <v>4.2</v>
      </c>
      <c r="T385" s="41">
        <f t="shared" si="197"/>
        <v>3.4125984251968502</v>
      </c>
      <c r="U385" s="4">
        <v>2</v>
      </c>
      <c r="V385">
        <v>40.21</v>
      </c>
      <c r="W385" s="4" t="s">
        <v>457</v>
      </c>
      <c r="X385" s="7">
        <f t="shared" si="183"/>
        <v>0.75</v>
      </c>
      <c r="Y385">
        <v>25.4</v>
      </c>
      <c r="Z385" s="8">
        <v>0.44</v>
      </c>
      <c r="AA385" s="4">
        <v>0.41</v>
      </c>
      <c r="AB385" s="21">
        <f t="shared" si="190"/>
        <v>61.951219512195124</v>
      </c>
      <c r="AC385" s="4">
        <v>1100</v>
      </c>
      <c r="AD385" s="7">
        <f t="shared" si="171"/>
        <v>0.20443902439024392</v>
      </c>
      <c r="AE385" s="21">
        <f t="shared" si="200"/>
        <v>30077.103448275862</v>
      </c>
      <c r="AF385" s="21">
        <f t="shared" si="188"/>
        <v>60.154206896551727</v>
      </c>
      <c r="AG385" s="41">
        <f>340/145</f>
        <v>2.3448275862068964</v>
      </c>
      <c r="AH385" s="45">
        <f t="shared" si="172"/>
        <v>0.36978039178765371</v>
      </c>
      <c r="AI385" s="45">
        <f t="shared" si="173"/>
        <v>0.68443607237852444</v>
      </c>
      <c r="AJ385" s="21">
        <f t="shared" si="195"/>
        <v>30.077103448275864</v>
      </c>
      <c r="AK385" s="21">
        <f t="shared" si="174"/>
        <v>0.38380000000000003</v>
      </c>
      <c r="AL385" s="21">
        <f t="shared" si="198"/>
        <v>0.35094671999999999</v>
      </c>
      <c r="AM385" s="21">
        <f t="shared" si="189"/>
        <v>30.428050168275863</v>
      </c>
      <c r="AN385" s="41">
        <f t="shared" si="175"/>
        <v>2.3721875862068966</v>
      </c>
      <c r="AO385" s="41">
        <f t="shared" si="176"/>
        <v>0.37409507640618311</v>
      </c>
      <c r="AP385" s="41">
        <f t="shared" si="177"/>
        <v>0.69242223351481891</v>
      </c>
      <c r="AQ385" s="21">
        <f t="shared" si="178"/>
        <v>0.13149966690000001</v>
      </c>
      <c r="AR385" s="21">
        <f t="shared" si="179"/>
        <v>16.043126979310344</v>
      </c>
      <c r="AS385" s="21">
        <f t="shared" si="180"/>
        <v>16.174626646210346</v>
      </c>
      <c r="AT385" s="41">
        <f t="shared" si="181"/>
        <v>4.1855874506074757</v>
      </c>
      <c r="AU385" s="4"/>
    </row>
    <row r="386" spans="1:59" x14ac:dyDescent="0.25">
      <c r="B386" s="4" t="s">
        <v>368</v>
      </c>
      <c r="C386" s="8">
        <v>101</v>
      </c>
      <c r="D386" s="4">
        <v>152</v>
      </c>
      <c r="E386">
        <f t="shared" si="191"/>
        <v>127</v>
      </c>
      <c r="F386" s="4">
        <v>1980</v>
      </c>
      <c r="G386" s="8">
        <v>1828.8</v>
      </c>
      <c r="H386" s="4">
        <v>100</v>
      </c>
      <c r="I386" s="4">
        <f t="shared" si="185"/>
        <v>101</v>
      </c>
      <c r="J386" s="4">
        <v>100</v>
      </c>
      <c r="K386" s="4">
        <f t="shared" si="186"/>
        <v>101</v>
      </c>
      <c r="L386">
        <f>4.2*E386</f>
        <v>533.4</v>
      </c>
      <c r="M386" s="4">
        <f t="shared" si="199"/>
        <v>433.4</v>
      </c>
      <c r="N386" s="4">
        <v>2</v>
      </c>
      <c r="O386">
        <f t="shared" si="193"/>
        <v>15.875</v>
      </c>
      <c r="P386" s="21">
        <f t="shared" si="201"/>
        <v>395.86521804492008</v>
      </c>
      <c r="Q386" s="29">
        <f t="shared" si="182"/>
        <v>3.0861870900827947E-2</v>
      </c>
      <c r="R386" s="21">
        <f t="shared" si="194"/>
        <v>275.86206896551727</v>
      </c>
      <c r="S386" s="41">
        <f t="shared" si="196"/>
        <v>4.2</v>
      </c>
      <c r="T386" s="41">
        <f t="shared" si="197"/>
        <v>3.4125984251968502</v>
      </c>
      <c r="U386" s="4">
        <v>2</v>
      </c>
      <c r="V386">
        <v>40.21</v>
      </c>
      <c r="W386" s="4" t="s">
        <v>457</v>
      </c>
      <c r="X386" s="7">
        <f t="shared" si="183"/>
        <v>0.75</v>
      </c>
      <c r="Y386">
        <v>25.4</v>
      </c>
      <c r="Z386" s="8">
        <v>0.44</v>
      </c>
      <c r="AA386" s="4">
        <v>0.41</v>
      </c>
      <c r="AB386" s="21">
        <f t="shared" si="190"/>
        <v>61.951219512195124</v>
      </c>
      <c r="AC386" s="4">
        <v>1100</v>
      </c>
      <c r="AD386" s="7">
        <f t="shared" si="171"/>
        <v>0.20443902439024392</v>
      </c>
      <c r="AE386" s="21">
        <f t="shared" si="200"/>
        <v>32465.57931034483</v>
      </c>
      <c r="AF386" s="21">
        <f t="shared" si="188"/>
        <v>64.931158620689658</v>
      </c>
      <c r="AG386" s="41">
        <f>367/145</f>
        <v>2.5310344827586206</v>
      </c>
      <c r="AH386" s="45">
        <f t="shared" si="172"/>
        <v>0.3991453052531439</v>
      </c>
      <c r="AI386" s="45">
        <f t="shared" si="173"/>
        <v>0.73878834871446619</v>
      </c>
      <c r="AJ386" s="21">
        <f t="shared" si="195"/>
        <v>32.465579310344829</v>
      </c>
      <c r="AK386" s="21">
        <f t="shared" si="174"/>
        <v>0.38380000000000003</v>
      </c>
      <c r="AL386" s="21">
        <f t="shared" si="198"/>
        <v>0.35094671999999999</v>
      </c>
      <c r="AM386" s="21">
        <f t="shared" si="189"/>
        <v>32.816526030344832</v>
      </c>
      <c r="AN386" s="41">
        <f t="shared" si="175"/>
        <v>2.5583944827586209</v>
      </c>
      <c r="AO386" s="41">
        <f t="shared" si="176"/>
        <v>0.40345998987167331</v>
      </c>
      <c r="AP386" s="41">
        <f t="shared" si="177"/>
        <v>0.74677450985076066</v>
      </c>
      <c r="AQ386" s="21">
        <f t="shared" si="178"/>
        <v>0.13149966690000001</v>
      </c>
      <c r="AR386" s="21">
        <f t="shared" si="179"/>
        <v>17.317140004137933</v>
      </c>
      <c r="AS386" s="21">
        <f t="shared" si="180"/>
        <v>17.448639671037935</v>
      </c>
      <c r="AT386" s="41">
        <f t="shared" si="181"/>
        <v>4.1866364350826473</v>
      </c>
      <c r="AU386" s="4"/>
    </row>
    <row r="387" spans="1:59" x14ac:dyDescent="0.25">
      <c r="B387" s="4" t="s">
        <v>369</v>
      </c>
      <c r="C387" s="8">
        <v>101</v>
      </c>
      <c r="D387" s="4">
        <v>152</v>
      </c>
      <c r="E387">
        <f t="shared" si="191"/>
        <v>127</v>
      </c>
      <c r="F387" s="4">
        <v>1980</v>
      </c>
      <c r="G387" s="8">
        <v>1828.8</v>
      </c>
      <c r="H387" s="4">
        <v>100</v>
      </c>
      <c r="I387" s="4">
        <f t="shared" si="185"/>
        <v>101</v>
      </c>
      <c r="J387" s="4">
        <v>100</v>
      </c>
      <c r="K387" s="4">
        <f t="shared" si="186"/>
        <v>101</v>
      </c>
      <c r="L387">
        <f>3.2*E387</f>
        <v>406.40000000000003</v>
      </c>
      <c r="M387" s="4">
        <f t="shared" si="199"/>
        <v>306.40000000000003</v>
      </c>
      <c r="N387" s="4">
        <v>2</v>
      </c>
      <c r="O387">
        <f t="shared" si="193"/>
        <v>15.875</v>
      </c>
      <c r="P387" s="21">
        <f t="shared" si="201"/>
        <v>395.86521804492008</v>
      </c>
      <c r="Q387" s="29">
        <f t="shared" si="182"/>
        <v>3.0861870900827947E-2</v>
      </c>
      <c r="R387" s="21">
        <f t="shared" si="194"/>
        <v>275.86206896551727</v>
      </c>
      <c r="S387" s="41">
        <f t="shared" si="196"/>
        <v>3.2</v>
      </c>
      <c r="T387" s="41">
        <f t="shared" si="197"/>
        <v>2.4125984251968506</v>
      </c>
      <c r="U387" s="4">
        <v>2</v>
      </c>
      <c r="V387">
        <v>39.72</v>
      </c>
      <c r="W387" s="4" t="s">
        <v>457</v>
      </c>
      <c r="X387" s="7">
        <f t="shared" si="183"/>
        <v>0.75</v>
      </c>
      <c r="Y387">
        <v>25.4</v>
      </c>
      <c r="Z387" s="8">
        <v>0.88</v>
      </c>
      <c r="AA387" s="4">
        <v>0.41</v>
      </c>
      <c r="AB387" s="21">
        <f t="shared" si="190"/>
        <v>61.951219512195124</v>
      </c>
      <c r="AC387" s="4">
        <v>1100</v>
      </c>
      <c r="AD387" s="7">
        <f t="shared" si="171"/>
        <v>0.40887804878048783</v>
      </c>
      <c r="AE387" s="21">
        <f t="shared" si="200"/>
        <v>36623.296551724132</v>
      </c>
      <c r="AF387" s="21">
        <f t="shared" si="188"/>
        <v>73.246593103448262</v>
      </c>
      <c r="AG387" s="41">
        <f>414/145</f>
        <v>2.8551724137931034</v>
      </c>
      <c r="AH387" s="45">
        <f t="shared" si="172"/>
        <v>0.45303078933414836</v>
      </c>
      <c r="AI387" s="45">
        <f t="shared" si="173"/>
        <v>0.83681461959598991</v>
      </c>
      <c r="AJ387" s="21">
        <f t="shared" si="195"/>
        <v>36.623296551724131</v>
      </c>
      <c r="AK387" s="21">
        <f t="shared" si="174"/>
        <v>0.38380000000000003</v>
      </c>
      <c r="AL387" s="21">
        <f t="shared" si="198"/>
        <v>0.35094671999999999</v>
      </c>
      <c r="AM387" s="21">
        <f t="shared" si="189"/>
        <v>36.974243271724134</v>
      </c>
      <c r="AN387" s="41">
        <f t="shared" si="175"/>
        <v>2.8825324137931028</v>
      </c>
      <c r="AO387" s="41">
        <f t="shared" si="176"/>
        <v>0.45737200611541984</v>
      </c>
      <c r="AP387" s="41">
        <f t="shared" si="177"/>
        <v>0.84483348664637914</v>
      </c>
      <c r="AQ387" s="21">
        <f t="shared" si="178"/>
        <v>0.1098335812</v>
      </c>
      <c r="AR387" s="21">
        <f t="shared" si="179"/>
        <v>14.883707718620688</v>
      </c>
      <c r="AS387" s="21">
        <f t="shared" si="180"/>
        <v>14.993541299820688</v>
      </c>
      <c r="AT387" s="41">
        <f t="shared" si="181"/>
        <v>3.1930168102678662</v>
      </c>
      <c r="AU387" s="4"/>
    </row>
    <row r="388" spans="1:59" x14ac:dyDescent="0.25">
      <c r="B388" s="4" t="s">
        <v>370</v>
      </c>
      <c r="C388" s="8">
        <v>101</v>
      </c>
      <c r="D388" s="4">
        <v>152</v>
      </c>
      <c r="E388">
        <f t="shared" si="191"/>
        <v>127</v>
      </c>
      <c r="F388" s="4">
        <v>1980</v>
      </c>
      <c r="G388" s="8">
        <v>1828.8</v>
      </c>
      <c r="H388" s="4">
        <v>100</v>
      </c>
      <c r="I388" s="4">
        <f t="shared" si="185"/>
        <v>101</v>
      </c>
      <c r="J388" s="4">
        <v>100</v>
      </c>
      <c r="K388" s="4">
        <f t="shared" si="186"/>
        <v>101</v>
      </c>
      <c r="L388">
        <f>3.4*E388</f>
        <v>431.8</v>
      </c>
      <c r="M388" s="4">
        <f t="shared" si="199"/>
        <v>331.8</v>
      </c>
      <c r="N388" s="4">
        <v>2</v>
      </c>
      <c r="O388">
        <f t="shared" si="193"/>
        <v>15.875</v>
      </c>
      <c r="P388" s="21">
        <f t="shared" si="201"/>
        <v>395.86521804492008</v>
      </c>
      <c r="Q388" s="29">
        <f t="shared" si="182"/>
        <v>3.0861870900827947E-2</v>
      </c>
      <c r="R388" s="21">
        <f t="shared" si="194"/>
        <v>275.86206896551727</v>
      </c>
      <c r="S388" s="41">
        <f t="shared" si="196"/>
        <v>3.4</v>
      </c>
      <c r="T388" s="41">
        <f t="shared" si="197"/>
        <v>2.6125984251968504</v>
      </c>
      <c r="U388" s="4">
        <v>2</v>
      </c>
      <c r="V388">
        <v>39.72</v>
      </c>
      <c r="W388" s="4" t="s">
        <v>457</v>
      </c>
      <c r="X388" s="7">
        <f t="shared" si="183"/>
        <v>0.75</v>
      </c>
      <c r="Y388">
        <v>25.4</v>
      </c>
      <c r="Z388" s="8">
        <v>0.88</v>
      </c>
      <c r="AA388" s="4">
        <v>0.41</v>
      </c>
      <c r="AB388" s="21">
        <f t="shared" si="190"/>
        <v>61.951219512195124</v>
      </c>
      <c r="AC388" s="4">
        <v>1100</v>
      </c>
      <c r="AD388" s="7">
        <f t="shared" si="171"/>
        <v>0.40887804878048783</v>
      </c>
      <c r="AE388" s="21">
        <f t="shared" si="200"/>
        <v>34234.820689655164</v>
      </c>
      <c r="AF388" s="21">
        <f t="shared" si="188"/>
        <v>68.469641379310332</v>
      </c>
      <c r="AG388" s="41">
        <f>387/145</f>
        <v>2.6689655172413791</v>
      </c>
      <c r="AH388" s="45">
        <f t="shared" si="172"/>
        <v>0.42348530307322557</v>
      </c>
      <c r="AI388" s="45">
        <f t="shared" si="173"/>
        <v>0.78223975310059923</v>
      </c>
      <c r="AJ388" s="21">
        <f t="shared" si="195"/>
        <v>34.234820689655166</v>
      </c>
      <c r="AK388" s="21">
        <f t="shared" si="174"/>
        <v>0.38380000000000003</v>
      </c>
      <c r="AL388" s="21">
        <f t="shared" si="198"/>
        <v>0.35094671999999999</v>
      </c>
      <c r="AM388" s="21">
        <f t="shared" si="189"/>
        <v>34.585767409655169</v>
      </c>
      <c r="AN388" s="41">
        <f t="shared" si="175"/>
        <v>2.6963255172413794</v>
      </c>
      <c r="AO388" s="41">
        <f t="shared" si="176"/>
        <v>0.42782651985449721</v>
      </c>
      <c r="AP388" s="41">
        <f t="shared" si="177"/>
        <v>0.79025862015098869</v>
      </c>
      <c r="AQ388" s="21">
        <f t="shared" si="178"/>
        <v>0.11466202315599999</v>
      </c>
      <c r="AR388" s="21">
        <f t="shared" si="179"/>
        <v>14.782595573793103</v>
      </c>
      <c r="AS388" s="21">
        <f t="shared" si="180"/>
        <v>14.897257596949103</v>
      </c>
      <c r="AT388" s="41">
        <f t="shared" si="181"/>
        <v>3.3916043999102521</v>
      </c>
      <c r="AU388" s="4"/>
    </row>
    <row r="389" spans="1:59" x14ac:dyDescent="0.25">
      <c r="B389" s="4" t="s">
        <v>371</v>
      </c>
      <c r="C389" s="8">
        <v>101</v>
      </c>
      <c r="D389" s="4">
        <v>152</v>
      </c>
      <c r="E389">
        <f t="shared" si="191"/>
        <v>127</v>
      </c>
      <c r="F389" s="4">
        <v>1980</v>
      </c>
      <c r="G389" s="8">
        <v>1828.8</v>
      </c>
      <c r="H389" s="4">
        <v>100</v>
      </c>
      <c r="I389" s="4">
        <f t="shared" si="185"/>
        <v>101</v>
      </c>
      <c r="J389" s="4">
        <v>100</v>
      </c>
      <c r="K389" s="4">
        <f t="shared" si="186"/>
        <v>101</v>
      </c>
      <c r="L389">
        <f>3.4*E389</f>
        <v>431.8</v>
      </c>
      <c r="M389" s="4">
        <f t="shared" si="199"/>
        <v>331.8</v>
      </c>
      <c r="N389" s="4">
        <v>2</v>
      </c>
      <c r="O389">
        <f t="shared" si="193"/>
        <v>15.875</v>
      </c>
      <c r="P389" s="21">
        <f t="shared" si="201"/>
        <v>395.86521804492008</v>
      </c>
      <c r="Q389" s="29">
        <f t="shared" si="182"/>
        <v>3.0861870900827947E-2</v>
      </c>
      <c r="R389" s="21">
        <f t="shared" si="194"/>
        <v>275.86206896551727</v>
      </c>
      <c r="S389" s="41">
        <f t="shared" si="196"/>
        <v>3.4</v>
      </c>
      <c r="T389" s="41">
        <f t="shared" si="197"/>
        <v>2.6125984251968504</v>
      </c>
      <c r="U389" s="4">
        <v>2</v>
      </c>
      <c r="V389">
        <v>39.72</v>
      </c>
      <c r="W389" s="4" t="s">
        <v>457</v>
      </c>
      <c r="X389" s="7">
        <f t="shared" si="183"/>
        <v>0.75</v>
      </c>
      <c r="Y389">
        <v>25.4</v>
      </c>
      <c r="Z389" s="8">
        <v>0.88</v>
      </c>
      <c r="AA389" s="4">
        <v>0.41</v>
      </c>
      <c r="AB389" s="21">
        <f t="shared" si="190"/>
        <v>61.951219512195124</v>
      </c>
      <c r="AC389" s="4">
        <v>1100</v>
      </c>
      <c r="AD389" s="7">
        <f t="shared" ref="AD389:AD452" si="202">AB389*Z389/100*X389</f>
        <v>0.40887804878048783</v>
      </c>
      <c r="AE389" s="21">
        <f t="shared" si="200"/>
        <v>33084.813793103451</v>
      </c>
      <c r="AF389" s="21">
        <f t="shared" si="188"/>
        <v>66.1696275862069</v>
      </c>
      <c r="AG389" s="41">
        <f>374/145</f>
        <v>2.579310344827586</v>
      </c>
      <c r="AH389" s="45">
        <f t="shared" ref="AH389:AH452" si="203">AG389/SQRT(V389)</f>
        <v>0.40925969857722577</v>
      </c>
      <c r="AI389" s="45">
        <f t="shared" ref="AI389:AI452" si="204">AG389/(V389^(1/3))</f>
        <v>0.75596296552874442</v>
      </c>
      <c r="AJ389" s="21">
        <f t="shared" si="195"/>
        <v>33.08481379310345</v>
      </c>
      <c r="AK389" s="21">
        <f t="shared" ref="AK389:AK452" si="205">25*C389/1000*D389/1000</f>
        <v>0.38380000000000003</v>
      </c>
      <c r="AL389" s="21">
        <f t="shared" si="198"/>
        <v>0.35094671999999999</v>
      </c>
      <c r="AM389" s="21">
        <f t="shared" si="189"/>
        <v>33.435760513103453</v>
      </c>
      <c r="AN389" s="41">
        <f t="shared" ref="AN389:AN452" si="206">AM389*1000/(C389*E389)</f>
        <v>2.6066703448275863</v>
      </c>
      <c r="AO389" s="41">
        <f t="shared" ref="AO389:AO452" si="207">AN389/SQRT(V389)</f>
        <v>0.41360091535849741</v>
      </c>
      <c r="AP389" s="41">
        <f t="shared" ref="AP389:AP452" si="208">AN389/(V389^(1/3))</f>
        <v>0.76398183257913388</v>
      </c>
      <c r="AQ389" s="21">
        <f t="shared" ref="AQ389:AQ452" si="209">-AK389/2*((F389-G389)/2000+L389/1000)^2+1/2*AK389*F389/1000*L389/1000</f>
        <v>0.11466202315599999</v>
      </c>
      <c r="AR389" s="21">
        <f t="shared" ref="AR389:AR452" si="210">AJ389*L389/1000</f>
        <v>14.28602259586207</v>
      </c>
      <c r="AS389" s="21">
        <f t="shared" ref="AS389:AS452" si="211">AQ389+AR389</f>
        <v>14.400684619018071</v>
      </c>
      <c r="AT389" s="41">
        <f t="shared" ref="AT389:AT452" si="212">AS389/(AM389*E389/1000)</f>
        <v>3.3913156372843765</v>
      </c>
      <c r="AU389" s="4"/>
    </row>
    <row r="390" spans="1:59" x14ac:dyDescent="0.25">
      <c r="B390" s="4" t="s">
        <v>372</v>
      </c>
      <c r="C390" s="8">
        <v>101</v>
      </c>
      <c r="D390" s="4">
        <v>152</v>
      </c>
      <c r="E390">
        <f t="shared" si="191"/>
        <v>127</v>
      </c>
      <c r="F390" s="4">
        <v>1980</v>
      </c>
      <c r="G390" s="8">
        <v>1828.8</v>
      </c>
      <c r="H390" s="4">
        <v>100</v>
      </c>
      <c r="I390" s="4">
        <f t="shared" si="185"/>
        <v>101</v>
      </c>
      <c r="J390" s="4">
        <v>100</v>
      </c>
      <c r="K390" s="4">
        <f t="shared" si="186"/>
        <v>101</v>
      </c>
      <c r="L390">
        <f>3.4*E390</f>
        <v>431.8</v>
      </c>
      <c r="M390" s="4">
        <f t="shared" si="199"/>
        <v>331.8</v>
      </c>
      <c r="N390" s="4">
        <v>2</v>
      </c>
      <c r="O390">
        <f t="shared" si="193"/>
        <v>15.875</v>
      </c>
      <c r="P390" s="21">
        <f t="shared" si="201"/>
        <v>395.86521804492008</v>
      </c>
      <c r="Q390" s="29">
        <f t="shared" ref="Q390:Q453" si="213">P390/(C390*E390)</f>
        <v>3.0861870900827947E-2</v>
      </c>
      <c r="R390" s="21">
        <f t="shared" si="194"/>
        <v>275.86206896551727</v>
      </c>
      <c r="S390" s="41">
        <f t="shared" si="196"/>
        <v>3.4</v>
      </c>
      <c r="T390" s="41">
        <f t="shared" si="197"/>
        <v>2.6125984251968504</v>
      </c>
      <c r="U390" s="4">
        <v>2</v>
      </c>
      <c r="V390">
        <v>39.72</v>
      </c>
      <c r="W390" s="4" t="s">
        <v>457</v>
      </c>
      <c r="X390" s="7">
        <f t="shared" si="183"/>
        <v>0.75</v>
      </c>
      <c r="Y390">
        <v>25.4</v>
      </c>
      <c r="Z390" s="8">
        <v>0.88</v>
      </c>
      <c r="AA390" s="4">
        <v>0.41</v>
      </c>
      <c r="AB390" s="21">
        <f t="shared" si="190"/>
        <v>61.951219512195124</v>
      </c>
      <c r="AC390" s="4">
        <v>1100</v>
      </c>
      <c r="AD390" s="7">
        <f t="shared" si="202"/>
        <v>0.40887804878048783</v>
      </c>
      <c r="AE390" s="21">
        <f t="shared" si="200"/>
        <v>41842.558620689655</v>
      </c>
      <c r="AF390" s="21">
        <f t="shared" si="188"/>
        <v>83.685117241379317</v>
      </c>
      <c r="AG390" s="41">
        <f>473/145</f>
        <v>3.2620689655172415</v>
      </c>
      <c r="AH390" s="45">
        <f t="shared" si="203"/>
        <v>0.51759314820060909</v>
      </c>
      <c r="AI390" s="45">
        <f t="shared" si="204"/>
        <v>0.95607080934517685</v>
      </c>
      <c r="AJ390" s="21">
        <f t="shared" si="195"/>
        <v>41.842558620689658</v>
      </c>
      <c r="AK390" s="21">
        <f t="shared" si="205"/>
        <v>0.38380000000000003</v>
      </c>
      <c r="AL390" s="21">
        <f t="shared" si="198"/>
        <v>0.35094671999999999</v>
      </c>
      <c r="AM390" s="21">
        <f t="shared" si="189"/>
        <v>42.193505340689661</v>
      </c>
      <c r="AN390" s="41">
        <f t="shared" si="206"/>
        <v>3.2894289655172417</v>
      </c>
      <c r="AO390" s="41">
        <f t="shared" si="207"/>
        <v>0.52193436498188073</v>
      </c>
      <c r="AP390" s="41">
        <f t="shared" si="208"/>
        <v>0.96408967639556631</v>
      </c>
      <c r="AQ390" s="21">
        <f t="shared" si="209"/>
        <v>0.11466202315599999</v>
      </c>
      <c r="AR390" s="21">
        <f t="shared" si="210"/>
        <v>18.067616812413796</v>
      </c>
      <c r="AS390" s="21">
        <f t="shared" si="211"/>
        <v>18.182278835569797</v>
      </c>
      <c r="AT390" s="41">
        <f t="shared" si="212"/>
        <v>3.3931181761357836</v>
      </c>
      <c r="AU390" s="4"/>
    </row>
    <row r="391" spans="1:59" x14ac:dyDescent="0.25">
      <c r="B391" s="4" t="s">
        <v>373</v>
      </c>
      <c r="C391" s="8">
        <v>101</v>
      </c>
      <c r="D391" s="4">
        <v>152</v>
      </c>
      <c r="E391">
        <f t="shared" si="191"/>
        <v>127</v>
      </c>
      <c r="F391" s="4">
        <v>1980</v>
      </c>
      <c r="G391" s="8">
        <v>1828.8</v>
      </c>
      <c r="H391" s="4">
        <v>100</v>
      </c>
      <c r="I391" s="4">
        <f t="shared" si="185"/>
        <v>101</v>
      </c>
      <c r="J391" s="4">
        <v>100</v>
      </c>
      <c r="K391" s="4">
        <f t="shared" si="186"/>
        <v>101</v>
      </c>
      <c r="L391">
        <f>3.4*E391</f>
        <v>431.8</v>
      </c>
      <c r="M391" s="4">
        <f t="shared" si="199"/>
        <v>331.8</v>
      </c>
      <c r="N391" s="4">
        <v>2</v>
      </c>
      <c r="O391">
        <f t="shared" si="193"/>
        <v>15.875</v>
      </c>
      <c r="P391" s="21">
        <f t="shared" si="201"/>
        <v>395.86521804492008</v>
      </c>
      <c r="Q391" s="29">
        <f t="shared" si="213"/>
        <v>3.0861870900827947E-2</v>
      </c>
      <c r="R391" s="21">
        <f t="shared" si="194"/>
        <v>275.86206896551727</v>
      </c>
      <c r="S391" s="41">
        <f t="shared" si="196"/>
        <v>3.4</v>
      </c>
      <c r="T391" s="41">
        <f t="shared" si="197"/>
        <v>2.6125984251968504</v>
      </c>
      <c r="U391" s="4">
        <v>2</v>
      </c>
      <c r="V391">
        <v>39.72</v>
      </c>
      <c r="W391" s="4" t="s">
        <v>457</v>
      </c>
      <c r="X391" s="7">
        <f t="shared" si="183"/>
        <v>0.75</v>
      </c>
      <c r="Y391">
        <v>25.4</v>
      </c>
      <c r="Z391" s="8">
        <v>0.88</v>
      </c>
      <c r="AA391" s="4">
        <v>0.41</v>
      </c>
      <c r="AB391" s="21">
        <f t="shared" si="190"/>
        <v>61.951219512195124</v>
      </c>
      <c r="AC391" s="4">
        <v>1100</v>
      </c>
      <c r="AD391" s="7">
        <f t="shared" si="202"/>
        <v>0.40887804878048783</v>
      </c>
      <c r="AE391" s="21">
        <f t="shared" si="200"/>
        <v>39454.082758620687</v>
      </c>
      <c r="AF391" s="21">
        <f t="shared" si="188"/>
        <v>78.908165517241372</v>
      </c>
      <c r="AG391" s="41">
        <f>446/145</f>
        <v>3.0758620689655172</v>
      </c>
      <c r="AH391" s="45">
        <f t="shared" si="203"/>
        <v>0.48804766193968635</v>
      </c>
      <c r="AI391" s="45">
        <f t="shared" si="204"/>
        <v>0.90149594284978618</v>
      </c>
      <c r="AJ391" s="21">
        <f t="shared" si="195"/>
        <v>39.454082758620686</v>
      </c>
      <c r="AK391" s="21">
        <f t="shared" si="205"/>
        <v>0.38380000000000003</v>
      </c>
      <c r="AL391" s="21">
        <f t="shared" si="198"/>
        <v>0.35094671999999999</v>
      </c>
      <c r="AM391" s="21">
        <f t="shared" si="189"/>
        <v>39.805029478620689</v>
      </c>
      <c r="AN391" s="41">
        <f t="shared" si="206"/>
        <v>3.103222068965517</v>
      </c>
      <c r="AO391" s="41">
        <f t="shared" si="207"/>
        <v>0.49238887872095793</v>
      </c>
      <c r="AP391" s="41">
        <f t="shared" si="208"/>
        <v>0.90951480990017552</v>
      </c>
      <c r="AQ391" s="21">
        <f t="shared" si="209"/>
        <v>0.11466202315599999</v>
      </c>
      <c r="AR391" s="21">
        <f t="shared" si="210"/>
        <v>17.036272935172413</v>
      </c>
      <c r="AS391" s="21">
        <f t="shared" si="211"/>
        <v>17.150934958328413</v>
      </c>
      <c r="AT391" s="41">
        <f t="shared" si="212"/>
        <v>3.3927052366052268</v>
      </c>
      <c r="AU391" s="4"/>
    </row>
    <row r="392" spans="1:59" x14ac:dyDescent="0.25">
      <c r="B392" s="4" t="s">
        <v>374</v>
      </c>
      <c r="C392" s="8">
        <v>101</v>
      </c>
      <c r="D392" s="4">
        <v>152</v>
      </c>
      <c r="E392">
        <f t="shared" si="191"/>
        <v>127</v>
      </c>
      <c r="F392" s="4">
        <v>1980</v>
      </c>
      <c r="G392" s="8">
        <v>1828.8</v>
      </c>
      <c r="H392" s="4">
        <v>100</v>
      </c>
      <c r="I392" s="4">
        <f t="shared" si="185"/>
        <v>101</v>
      </c>
      <c r="J392" s="4">
        <v>100</v>
      </c>
      <c r="K392" s="4">
        <f t="shared" si="186"/>
        <v>101</v>
      </c>
      <c r="L392">
        <f>2.8*E392</f>
        <v>355.59999999999997</v>
      </c>
      <c r="M392" s="4">
        <f t="shared" si="199"/>
        <v>255.59999999999997</v>
      </c>
      <c r="N392" s="4">
        <v>2</v>
      </c>
      <c r="O392">
        <f t="shared" si="193"/>
        <v>15.875</v>
      </c>
      <c r="P392" s="21">
        <f t="shared" si="201"/>
        <v>395.86521804492008</v>
      </c>
      <c r="Q392" s="29">
        <f t="shared" si="213"/>
        <v>3.0861870900827947E-2</v>
      </c>
      <c r="R392" s="21">
        <f t="shared" si="194"/>
        <v>275.86206896551727</v>
      </c>
      <c r="S392" s="41">
        <f t="shared" si="196"/>
        <v>2.8</v>
      </c>
      <c r="T392" s="41">
        <f t="shared" si="197"/>
        <v>2.0125984251968503</v>
      </c>
      <c r="U392" s="4">
        <v>2</v>
      </c>
      <c r="V392">
        <v>39.79</v>
      </c>
      <c r="W392" s="4" t="s">
        <v>457</v>
      </c>
      <c r="X392" s="7">
        <f t="shared" si="183"/>
        <v>0.75</v>
      </c>
      <c r="Y392">
        <v>25.4</v>
      </c>
      <c r="Z392" s="8">
        <v>1.76</v>
      </c>
      <c r="AA392" s="4">
        <v>0.41</v>
      </c>
      <c r="AB392" s="21">
        <f t="shared" si="190"/>
        <v>61.951219512195124</v>
      </c>
      <c r="AC392" s="4">
        <v>1100</v>
      </c>
      <c r="AD392" s="7">
        <f t="shared" si="202"/>
        <v>0.81775609756097567</v>
      </c>
      <c r="AE392" s="21">
        <f t="shared" si="200"/>
        <v>56173.413793103449</v>
      </c>
      <c r="AF392" s="21">
        <f t="shared" si="188"/>
        <v>112.3468275862069</v>
      </c>
      <c r="AG392" s="41">
        <f>635/145</f>
        <v>4.3793103448275863</v>
      </c>
      <c r="AH392" s="45">
        <f t="shared" si="203"/>
        <v>0.69425458001563045</v>
      </c>
      <c r="AI392" s="45">
        <f t="shared" si="204"/>
        <v>1.2827668949796331</v>
      </c>
      <c r="AJ392" s="21">
        <f t="shared" si="195"/>
        <v>56.17341379310345</v>
      </c>
      <c r="AK392" s="21">
        <f t="shared" si="205"/>
        <v>0.38380000000000003</v>
      </c>
      <c r="AL392" s="21">
        <f t="shared" si="198"/>
        <v>0.35094671999999999</v>
      </c>
      <c r="AM392" s="21">
        <f t="shared" si="189"/>
        <v>56.524360513103453</v>
      </c>
      <c r="AN392" s="41">
        <f t="shared" si="206"/>
        <v>4.4066703448275861</v>
      </c>
      <c r="AO392" s="41">
        <f t="shared" si="207"/>
        <v>0.6985919765035643</v>
      </c>
      <c r="AP392" s="41">
        <f t="shared" si="208"/>
        <v>1.2907810569099689</v>
      </c>
      <c r="AQ392" s="21">
        <f t="shared" si="209"/>
        <v>9.9433860063999985E-2</v>
      </c>
      <c r="AR392" s="21">
        <f t="shared" si="210"/>
        <v>19.975265944827584</v>
      </c>
      <c r="AS392" s="21">
        <f t="shared" si="211"/>
        <v>20.074699804891583</v>
      </c>
      <c r="AT392" s="41">
        <f t="shared" si="212"/>
        <v>2.7964668855311996</v>
      </c>
      <c r="AU392" s="4"/>
    </row>
    <row r="393" spans="1:59" x14ac:dyDescent="0.25">
      <c r="B393" s="4" t="s">
        <v>375</v>
      </c>
      <c r="C393" s="8">
        <v>101</v>
      </c>
      <c r="D393" s="4">
        <v>152</v>
      </c>
      <c r="E393">
        <f t="shared" si="191"/>
        <v>127</v>
      </c>
      <c r="F393" s="4">
        <v>1980</v>
      </c>
      <c r="G393" s="8">
        <v>1828.8</v>
      </c>
      <c r="H393" s="4">
        <v>100</v>
      </c>
      <c r="I393" s="4">
        <f t="shared" si="185"/>
        <v>101</v>
      </c>
      <c r="J393" s="4">
        <v>100</v>
      </c>
      <c r="K393" s="4">
        <f t="shared" si="186"/>
        <v>101</v>
      </c>
      <c r="L393">
        <f>1.8*E393</f>
        <v>228.6</v>
      </c>
      <c r="M393" s="4">
        <f t="shared" si="199"/>
        <v>128.6</v>
      </c>
      <c r="N393" s="4">
        <v>2</v>
      </c>
      <c r="O393">
        <f t="shared" si="193"/>
        <v>15.875</v>
      </c>
      <c r="P393" s="21">
        <f t="shared" si="201"/>
        <v>395.86521804492008</v>
      </c>
      <c r="Q393" s="29">
        <f t="shared" si="213"/>
        <v>3.0861870900827947E-2</v>
      </c>
      <c r="R393" s="21">
        <f t="shared" si="194"/>
        <v>275.86206896551727</v>
      </c>
      <c r="S393" s="41">
        <f t="shared" si="196"/>
        <v>1.8</v>
      </c>
      <c r="T393" s="41">
        <f t="shared" si="197"/>
        <v>1.0125984251968503</v>
      </c>
      <c r="U393" s="4">
        <v>2</v>
      </c>
      <c r="V393">
        <v>39.79</v>
      </c>
      <c r="W393" s="4" t="s">
        <v>457</v>
      </c>
      <c r="X393" s="7">
        <f t="shared" ref="X393:X453" si="214">IF(W393="hooked",1,IF(W393="crimped",0.75,IF(W393="straight",0.5,"check")))</f>
        <v>0.75</v>
      </c>
      <c r="Y393">
        <v>25.4</v>
      </c>
      <c r="Z393" s="8">
        <v>1.76</v>
      </c>
      <c r="AA393" s="4">
        <v>0.41</v>
      </c>
      <c r="AB393" s="21">
        <f t="shared" si="190"/>
        <v>61.951219512195124</v>
      </c>
      <c r="AC393" s="4">
        <v>1100</v>
      </c>
      <c r="AD393" s="7">
        <f t="shared" si="202"/>
        <v>0.81775609756097567</v>
      </c>
      <c r="AE393" s="21">
        <f t="shared" si="200"/>
        <v>76962</v>
      </c>
      <c r="AF393" s="21">
        <f t="shared" si="188"/>
        <v>153.92400000000001</v>
      </c>
      <c r="AG393" s="41">
        <f>870/145</f>
        <v>6</v>
      </c>
      <c r="AH393" s="45">
        <f t="shared" si="203"/>
        <v>0.95118344033637559</v>
      </c>
      <c r="AI393" s="45">
        <f t="shared" si="204"/>
        <v>1.7574916513894188</v>
      </c>
      <c r="AJ393" s="21">
        <f t="shared" si="195"/>
        <v>76.962000000000003</v>
      </c>
      <c r="AK393" s="21">
        <f t="shared" si="205"/>
        <v>0.38380000000000003</v>
      </c>
      <c r="AL393" s="21">
        <f t="shared" si="198"/>
        <v>0.35094671999999999</v>
      </c>
      <c r="AM393" s="21">
        <f t="shared" si="189"/>
        <v>77.312946719999999</v>
      </c>
      <c r="AN393" s="41">
        <f t="shared" si="206"/>
        <v>6.0273599999999998</v>
      </c>
      <c r="AO393" s="41">
        <f t="shared" si="207"/>
        <v>0.95552083682430944</v>
      </c>
      <c r="AP393" s="41">
        <f t="shared" si="208"/>
        <v>1.7655058133197543</v>
      </c>
      <c r="AQ393" s="21">
        <f t="shared" si="209"/>
        <v>6.9101340083999985E-2</v>
      </c>
      <c r="AR393" s="21">
        <f t="shared" si="210"/>
        <v>17.5935132</v>
      </c>
      <c r="AS393" s="21">
        <f t="shared" si="211"/>
        <v>17.662614540084</v>
      </c>
      <c r="AT393" s="41">
        <f t="shared" si="212"/>
        <v>1.7988669548932632</v>
      </c>
      <c r="AU393" s="4"/>
    </row>
    <row r="394" spans="1:59" x14ac:dyDescent="0.25">
      <c r="B394" s="4" t="s">
        <v>376</v>
      </c>
      <c r="C394" s="8">
        <v>101</v>
      </c>
      <c r="D394" s="4">
        <v>152</v>
      </c>
      <c r="E394">
        <f t="shared" si="191"/>
        <v>127</v>
      </c>
      <c r="F394" s="4">
        <v>1980</v>
      </c>
      <c r="G394" s="8">
        <v>1828.8</v>
      </c>
      <c r="H394" s="4">
        <v>100</v>
      </c>
      <c r="I394" s="4">
        <f t="shared" si="185"/>
        <v>101</v>
      </c>
      <c r="J394" s="4">
        <v>100</v>
      </c>
      <c r="K394" s="4">
        <f t="shared" si="186"/>
        <v>101</v>
      </c>
      <c r="L394">
        <f>1.2*E394</f>
        <v>152.4</v>
      </c>
      <c r="M394" s="4">
        <f t="shared" si="199"/>
        <v>52.400000000000006</v>
      </c>
      <c r="N394" s="4">
        <v>2</v>
      </c>
      <c r="O394">
        <f t="shared" si="193"/>
        <v>15.875</v>
      </c>
      <c r="P394" s="21">
        <f t="shared" si="201"/>
        <v>395.86521804492008</v>
      </c>
      <c r="Q394" s="29">
        <f t="shared" si="213"/>
        <v>3.0861870900827947E-2</v>
      </c>
      <c r="R394" s="21">
        <f t="shared" si="194"/>
        <v>275.86206896551727</v>
      </c>
      <c r="S394" s="41">
        <f t="shared" si="196"/>
        <v>1.2</v>
      </c>
      <c r="T394" s="41">
        <f t="shared" si="197"/>
        <v>0.41259842519685042</v>
      </c>
      <c r="U394" s="4">
        <v>2</v>
      </c>
      <c r="V394">
        <v>39.79</v>
      </c>
      <c r="W394" s="4" t="s">
        <v>457</v>
      </c>
      <c r="X394" s="7">
        <f t="shared" si="214"/>
        <v>0.75</v>
      </c>
      <c r="Y394">
        <v>25.4</v>
      </c>
      <c r="Z394" s="8">
        <v>1.76</v>
      </c>
      <c r="AA394" s="4">
        <v>0.41</v>
      </c>
      <c r="AB394" s="21">
        <f t="shared" si="190"/>
        <v>61.951219512195124</v>
      </c>
      <c r="AC394" s="4">
        <v>1100</v>
      </c>
      <c r="AD394" s="7">
        <f t="shared" si="202"/>
        <v>0.81775609756097567</v>
      </c>
      <c r="AE394" s="21">
        <f t="shared" si="200"/>
        <v>145077.79310344826</v>
      </c>
      <c r="AF394" s="21">
        <f t="shared" si="188"/>
        <v>290.15558620689654</v>
      </c>
      <c r="AG394" s="41">
        <f>1640/145</f>
        <v>11.310344827586206</v>
      </c>
      <c r="AH394" s="45">
        <f t="shared" si="203"/>
        <v>1.7930354507490298</v>
      </c>
      <c r="AI394" s="45">
        <f t="shared" si="204"/>
        <v>3.3129727681363752</v>
      </c>
      <c r="AJ394" s="21">
        <f t="shared" si="195"/>
        <v>145.07779310344827</v>
      </c>
      <c r="AK394" s="21">
        <f t="shared" si="205"/>
        <v>0.38380000000000003</v>
      </c>
      <c r="AL394" s="21">
        <f t="shared" si="198"/>
        <v>0.35094671999999999</v>
      </c>
      <c r="AM394" s="21">
        <f t="shared" si="189"/>
        <v>145.42873982344827</v>
      </c>
      <c r="AN394" s="41">
        <f t="shared" si="206"/>
        <v>11.337704827586206</v>
      </c>
      <c r="AO394" s="41">
        <f t="shared" si="207"/>
        <v>1.7973728472369637</v>
      </c>
      <c r="AP394" s="41">
        <f t="shared" si="208"/>
        <v>3.3209869300667112</v>
      </c>
      <c r="AQ394" s="21">
        <f t="shared" si="209"/>
        <v>4.7930479200000008E-2</v>
      </c>
      <c r="AR394" s="21">
        <f t="shared" si="210"/>
        <v>22.109855668965515</v>
      </c>
      <c r="AS394" s="21">
        <f t="shared" si="211"/>
        <v>22.157786148165517</v>
      </c>
      <c r="AT394" s="41">
        <f t="shared" si="212"/>
        <v>1.1996992979790544</v>
      </c>
      <c r="AU394" s="4"/>
    </row>
    <row r="395" spans="1:59" x14ac:dyDescent="0.25">
      <c r="B395" s="4" t="s">
        <v>377</v>
      </c>
      <c r="C395" s="8">
        <v>101</v>
      </c>
      <c r="D395" s="4">
        <v>152</v>
      </c>
      <c r="E395">
        <f t="shared" si="191"/>
        <v>127</v>
      </c>
      <c r="F395" s="4">
        <v>1980</v>
      </c>
      <c r="G395" s="8">
        <v>1828.8</v>
      </c>
      <c r="H395" s="4">
        <v>100</v>
      </c>
      <c r="I395" s="4">
        <f t="shared" si="185"/>
        <v>101</v>
      </c>
      <c r="J395" s="4">
        <v>100</v>
      </c>
      <c r="K395" s="4">
        <f t="shared" si="186"/>
        <v>101</v>
      </c>
      <c r="L395">
        <f>1.2*E395</f>
        <v>152.4</v>
      </c>
      <c r="M395" s="4">
        <f t="shared" si="199"/>
        <v>52.400000000000006</v>
      </c>
      <c r="N395" s="4">
        <v>2</v>
      </c>
      <c r="O395">
        <f t="shared" si="193"/>
        <v>15.875</v>
      </c>
      <c r="P395" s="21">
        <f t="shared" si="201"/>
        <v>395.86521804492008</v>
      </c>
      <c r="Q395" s="29">
        <f t="shared" si="213"/>
        <v>3.0861870900827947E-2</v>
      </c>
      <c r="R395" s="21">
        <f t="shared" si="194"/>
        <v>275.86206896551727</v>
      </c>
      <c r="S395" s="41">
        <f t="shared" si="196"/>
        <v>1.2</v>
      </c>
      <c r="T395" s="41">
        <f t="shared" si="197"/>
        <v>0.41259842519685042</v>
      </c>
      <c r="U395" s="4">
        <v>2</v>
      </c>
      <c r="V395">
        <v>39.79</v>
      </c>
      <c r="W395" s="4" t="s">
        <v>457</v>
      </c>
      <c r="X395" s="7">
        <f t="shared" si="214"/>
        <v>0.75</v>
      </c>
      <c r="Y395">
        <v>25.4</v>
      </c>
      <c r="Z395" s="8">
        <v>1.76</v>
      </c>
      <c r="AA395" s="4">
        <v>0.41</v>
      </c>
      <c r="AB395" s="21">
        <f t="shared" si="190"/>
        <v>61.951219512195124</v>
      </c>
      <c r="AC395" s="4">
        <v>1100</v>
      </c>
      <c r="AD395" s="7">
        <f t="shared" si="202"/>
        <v>0.81775609756097567</v>
      </c>
      <c r="AE395" s="21">
        <f t="shared" si="200"/>
        <v>139327.75862068965</v>
      </c>
      <c r="AF395" s="21">
        <f t="shared" si="188"/>
        <v>278.6555172413793</v>
      </c>
      <c r="AG395" s="41">
        <f>1575/145</f>
        <v>10.862068965517242</v>
      </c>
      <c r="AH395" s="45">
        <f t="shared" si="203"/>
        <v>1.7219700212986111</v>
      </c>
      <c r="AI395" s="45">
        <f t="shared" si="204"/>
        <v>3.1816659206187756</v>
      </c>
      <c r="AJ395" s="21">
        <f t="shared" si="195"/>
        <v>139.32775862068965</v>
      </c>
      <c r="AK395" s="21">
        <f t="shared" si="205"/>
        <v>0.38380000000000003</v>
      </c>
      <c r="AL395" s="21">
        <f t="shared" si="198"/>
        <v>0.35094671999999999</v>
      </c>
      <c r="AM395" s="21">
        <f t="shared" si="189"/>
        <v>139.67870534068965</v>
      </c>
      <c r="AN395" s="41">
        <f t="shared" si="206"/>
        <v>10.889428965517242</v>
      </c>
      <c r="AO395" s="41">
        <f t="shared" si="207"/>
        <v>1.726307417786545</v>
      </c>
      <c r="AP395" s="41">
        <f t="shared" si="208"/>
        <v>3.1896800825491112</v>
      </c>
      <c r="AQ395" s="21">
        <f t="shared" si="209"/>
        <v>4.7930479200000008E-2</v>
      </c>
      <c r="AR395" s="21">
        <f t="shared" si="210"/>
        <v>21.2335504137931</v>
      </c>
      <c r="AS395" s="21">
        <f t="shared" si="211"/>
        <v>21.281480892993102</v>
      </c>
      <c r="AT395" s="41">
        <f t="shared" si="212"/>
        <v>1.1996869192346689</v>
      </c>
      <c r="AU395" s="4"/>
    </row>
    <row r="396" spans="1:59" x14ac:dyDescent="0.25">
      <c r="B396" s="4" t="s">
        <v>378</v>
      </c>
      <c r="C396" s="8">
        <v>101</v>
      </c>
      <c r="D396" s="4">
        <v>152</v>
      </c>
      <c r="E396">
        <f t="shared" si="191"/>
        <v>127</v>
      </c>
      <c r="F396" s="4">
        <v>1980</v>
      </c>
      <c r="G396" s="8">
        <v>1828.8</v>
      </c>
      <c r="H396" s="4">
        <v>100</v>
      </c>
      <c r="I396" s="4">
        <f>C396</f>
        <v>101</v>
      </c>
      <c r="J396" s="4">
        <v>100</v>
      </c>
      <c r="K396" s="4">
        <f>C396</f>
        <v>101</v>
      </c>
      <c r="L396">
        <f>4.8*E396</f>
        <v>609.6</v>
      </c>
      <c r="M396" s="4">
        <f t="shared" si="199"/>
        <v>509.6</v>
      </c>
      <c r="N396" s="4">
        <v>2</v>
      </c>
      <c r="O396">
        <f t="shared" si="193"/>
        <v>15.875</v>
      </c>
      <c r="P396" s="21">
        <f t="shared" si="201"/>
        <v>395.86521804492008</v>
      </c>
      <c r="Q396" s="29">
        <f t="shared" si="213"/>
        <v>3.0861870900827947E-2</v>
      </c>
      <c r="R396" s="21">
        <f t="shared" si="194"/>
        <v>275.86206896551727</v>
      </c>
      <c r="S396" s="41">
        <f t="shared" si="196"/>
        <v>4.8</v>
      </c>
      <c r="T396" s="41">
        <f t="shared" si="197"/>
        <v>4.0125984251968507</v>
      </c>
      <c r="U396" s="4">
        <v>2</v>
      </c>
      <c r="V396">
        <v>33.22</v>
      </c>
      <c r="W396" s="4" t="s">
        <v>457</v>
      </c>
      <c r="X396" s="7">
        <f t="shared" si="214"/>
        <v>0.75</v>
      </c>
      <c r="Y396">
        <v>25.4</v>
      </c>
      <c r="Z396" s="8">
        <v>0.22</v>
      </c>
      <c r="AA396" s="4">
        <v>0.41</v>
      </c>
      <c r="AB396" s="21">
        <f t="shared" si="190"/>
        <v>61.951219512195124</v>
      </c>
      <c r="AC396" s="4">
        <v>1100</v>
      </c>
      <c r="AD396" s="7">
        <f t="shared" si="202"/>
        <v>0.10221951219512196</v>
      </c>
      <c r="AE396" s="21">
        <f t="shared" si="200"/>
        <v>24238.606896551722</v>
      </c>
      <c r="AF396" s="21">
        <f t="shared" ref="AF396:AF409" si="215">2*AJ396</f>
        <v>48.477213793103445</v>
      </c>
      <c r="AG396" s="41">
        <f>274/145</f>
        <v>1.8896551724137931</v>
      </c>
      <c r="AH396" s="45">
        <f t="shared" si="203"/>
        <v>0.32785570599938885</v>
      </c>
      <c r="AI396" s="45">
        <f t="shared" si="204"/>
        <v>0.5878267577958568</v>
      </c>
      <c r="AJ396" s="21">
        <f t="shared" si="195"/>
        <v>24.238606896551723</v>
      </c>
      <c r="AK396" s="21">
        <f t="shared" si="205"/>
        <v>0.38380000000000003</v>
      </c>
      <c r="AL396" s="21">
        <f t="shared" si="198"/>
        <v>0.35094671999999999</v>
      </c>
      <c r="AM396" s="21">
        <f t="shared" si="189"/>
        <v>24.589553616551722</v>
      </c>
      <c r="AN396" s="41">
        <f t="shared" si="206"/>
        <v>1.9170151724137929</v>
      </c>
      <c r="AO396" s="41">
        <f t="shared" si="207"/>
        <v>0.33260267372508506</v>
      </c>
      <c r="AP396" s="41">
        <f t="shared" si="208"/>
        <v>0.596337802735739</v>
      </c>
      <c r="AQ396" s="21">
        <f t="shared" si="209"/>
        <v>0.14152796942400003</v>
      </c>
      <c r="AR396" s="21">
        <f t="shared" si="210"/>
        <v>14.775854764137931</v>
      </c>
      <c r="AS396" s="21">
        <f t="shared" si="211"/>
        <v>14.917382733561931</v>
      </c>
      <c r="AT396" s="41">
        <f t="shared" si="212"/>
        <v>4.7768132921459499</v>
      </c>
      <c r="AU396" s="4"/>
    </row>
    <row r="397" spans="1:59" x14ac:dyDescent="0.25">
      <c r="B397" s="4" t="s">
        <v>379</v>
      </c>
      <c r="C397" s="8">
        <v>101</v>
      </c>
      <c r="D397" s="4">
        <v>152</v>
      </c>
      <c r="E397">
        <f t="shared" si="191"/>
        <v>127</v>
      </c>
      <c r="F397" s="4">
        <v>1980</v>
      </c>
      <c r="G397" s="8">
        <v>1828.8</v>
      </c>
      <c r="H397" s="4">
        <v>100</v>
      </c>
      <c r="I397" s="4">
        <f>C397</f>
        <v>101</v>
      </c>
      <c r="J397" s="4">
        <v>100</v>
      </c>
      <c r="K397" s="4">
        <f>C397</f>
        <v>101</v>
      </c>
      <c r="L397">
        <f>4.8*E397</f>
        <v>609.6</v>
      </c>
      <c r="M397" s="4">
        <f t="shared" si="199"/>
        <v>509.6</v>
      </c>
      <c r="N397" s="4">
        <v>2</v>
      </c>
      <c r="O397">
        <f t="shared" si="193"/>
        <v>15.875</v>
      </c>
      <c r="P397" s="21">
        <f t="shared" si="201"/>
        <v>395.86521804492008</v>
      </c>
      <c r="Q397" s="29">
        <f t="shared" si="213"/>
        <v>3.0861870900827947E-2</v>
      </c>
      <c r="R397" s="21">
        <f t="shared" si="194"/>
        <v>275.86206896551727</v>
      </c>
      <c r="S397" s="41">
        <f t="shared" si="196"/>
        <v>4.8</v>
      </c>
      <c r="T397" s="41">
        <f t="shared" si="197"/>
        <v>4.0125984251968507</v>
      </c>
      <c r="U397" s="4">
        <v>2</v>
      </c>
      <c r="V397">
        <v>33.22</v>
      </c>
      <c r="W397" s="4" t="s">
        <v>457</v>
      </c>
      <c r="X397" s="7">
        <f t="shared" si="214"/>
        <v>0.75</v>
      </c>
      <c r="Y397">
        <v>25.4</v>
      </c>
      <c r="Z397" s="8">
        <v>0.22</v>
      </c>
      <c r="AA397" s="4">
        <v>0.41</v>
      </c>
      <c r="AB397" s="21">
        <f t="shared" si="190"/>
        <v>61.951219512195124</v>
      </c>
      <c r="AC397" s="4">
        <v>1100</v>
      </c>
      <c r="AD397" s="7">
        <f t="shared" si="202"/>
        <v>0.10221951219512196</v>
      </c>
      <c r="AE397" s="21">
        <f t="shared" si="200"/>
        <v>23353.986206896552</v>
      </c>
      <c r="AF397" s="21">
        <f t="shared" si="215"/>
        <v>46.707972413793101</v>
      </c>
      <c r="AG397" s="41">
        <f>264/145</f>
        <v>1.8206896551724139</v>
      </c>
      <c r="AH397" s="45">
        <f t="shared" si="203"/>
        <v>0.3158901692840827</v>
      </c>
      <c r="AI397" s="45">
        <f t="shared" si="204"/>
        <v>0.56637322648943866</v>
      </c>
      <c r="AJ397" s="21">
        <f t="shared" si="195"/>
        <v>23.35398620689655</v>
      </c>
      <c r="AK397" s="21">
        <f t="shared" si="205"/>
        <v>0.38380000000000003</v>
      </c>
      <c r="AL397" s="21">
        <f t="shared" si="198"/>
        <v>0.35094671999999999</v>
      </c>
      <c r="AM397" s="21">
        <f t="shared" si="189"/>
        <v>23.70493292689655</v>
      </c>
      <c r="AN397" s="41">
        <f t="shared" si="206"/>
        <v>1.8480496551724135</v>
      </c>
      <c r="AO397" s="41">
        <f t="shared" si="207"/>
        <v>0.32063713700977886</v>
      </c>
      <c r="AP397" s="41">
        <f t="shared" si="208"/>
        <v>0.57488427142932075</v>
      </c>
      <c r="AQ397" s="21">
        <f t="shared" si="209"/>
        <v>0.14152796942400003</v>
      </c>
      <c r="AR397" s="21">
        <f t="shared" si="210"/>
        <v>14.236589991724138</v>
      </c>
      <c r="AS397" s="21">
        <f t="shared" si="211"/>
        <v>14.378117961148138</v>
      </c>
      <c r="AT397" s="41">
        <f t="shared" si="212"/>
        <v>4.7759480105796213</v>
      </c>
      <c r="AU397" s="4"/>
    </row>
    <row r="398" spans="1:59" x14ac:dyDescent="0.25">
      <c r="A398" s="1"/>
      <c r="B398" s="10" t="s">
        <v>380</v>
      </c>
      <c r="C398" s="9">
        <v>101</v>
      </c>
      <c r="D398" s="10">
        <v>152</v>
      </c>
      <c r="E398" s="1">
        <f t="shared" si="191"/>
        <v>127</v>
      </c>
      <c r="F398" s="10">
        <v>1980</v>
      </c>
      <c r="G398" s="9">
        <v>1828.8</v>
      </c>
      <c r="H398" s="10">
        <v>100</v>
      </c>
      <c r="I398" s="10">
        <f>C398</f>
        <v>101</v>
      </c>
      <c r="J398" s="10">
        <v>100</v>
      </c>
      <c r="K398" s="10">
        <f>C398</f>
        <v>101</v>
      </c>
      <c r="L398" s="1">
        <f>4.8*E398</f>
        <v>609.6</v>
      </c>
      <c r="M398" s="10">
        <f t="shared" si="199"/>
        <v>509.6</v>
      </c>
      <c r="N398" s="10">
        <v>2</v>
      </c>
      <c r="O398" s="1">
        <f t="shared" si="193"/>
        <v>15.875</v>
      </c>
      <c r="P398" s="27">
        <f t="shared" si="201"/>
        <v>395.86521804492008</v>
      </c>
      <c r="Q398" s="36">
        <f t="shared" si="213"/>
        <v>3.0861870900827947E-2</v>
      </c>
      <c r="R398" s="27">
        <f t="shared" si="194"/>
        <v>275.86206896551727</v>
      </c>
      <c r="S398" s="48">
        <f t="shared" si="196"/>
        <v>4.8</v>
      </c>
      <c r="T398" s="48">
        <f t="shared" si="197"/>
        <v>4.0125984251968507</v>
      </c>
      <c r="U398" s="10">
        <v>2</v>
      </c>
      <c r="V398" s="1">
        <v>33.22</v>
      </c>
      <c r="W398" s="10" t="s">
        <v>457</v>
      </c>
      <c r="X398" s="7">
        <f t="shared" si="214"/>
        <v>0.75</v>
      </c>
      <c r="Y398" s="1">
        <v>25.4</v>
      </c>
      <c r="Z398" s="9">
        <v>0.22</v>
      </c>
      <c r="AA398" s="10">
        <v>0.41</v>
      </c>
      <c r="AB398" s="27">
        <f t="shared" si="190"/>
        <v>61.951219512195124</v>
      </c>
      <c r="AC398" s="10">
        <v>1100</v>
      </c>
      <c r="AD398" s="7">
        <f t="shared" si="202"/>
        <v>0.10221951219512196</v>
      </c>
      <c r="AE398" s="27">
        <f t="shared" si="200"/>
        <v>26007.84827586207</v>
      </c>
      <c r="AF398" s="27">
        <f t="shared" si="215"/>
        <v>52.01569655172414</v>
      </c>
      <c r="AG398" s="48">
        <f>294/145</f>
        <v>2.0275862068965518</v>
      </c>
      <c r="AH398" s="45">
        <f t="shared" si="203"/>
        <v>0.35178677943000114</v>
      </c>
      <c r="AI398" s="45">
        <f t="shared" si="204"/>
        <v>0.63073382040869308</v>
      </c>
      <c r="AJ398" s="21">
        <f t="shared" si="195"/>
        <v>26.00784827586207</v>
      </c>
      <c r="AK398" s="21">
        <f t="shared" si="205"/>
        <v>0.38380000000000003</v>
      </c>
      <c r="AL398" s="27">
        <f t="shared" si="198"/>
        <v>0.35094671999999999</v>
      </c>
      <c r="AM398" s="27">
        <f t="shared" si="189"/>
        <v>26.35879499586207</v>
      </c>
      <c r="AN398" s="41">
        <f t="shared" si="206"/>
        <v>2.0549462068965516</v>
      </c>
      <c r="AO398" s="41">
        <f t="shared" si="207"/>
        <v>0.35653374715569741</v>
      </c>
      <c r="AP398" s="41">
        <f t="shared" si="208"/>
        <v>0.63924486534857528</v>
      </c>
      <c r="AQ398" s="21">
        <f t="shared" si="209"/>
        <v>0.14152796942400003</v>
      </c>
      <c r="AR398" s="21">
        <f t="shared" si="210"/>
        <v>15.854384308965518</v>
      </c>
      <c r="AS398" s="21">
        <f t="shared" si="211"/>
        <v>15.995912278389518</v>
      </c>
      <c r="AT398" s="41">
        <f t="shared" si="212"/>
        <v>4.7783696183358151</v>
      </c>
      <c r="AU398" s="10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</row>
    <row r="399" spans="1:59" x14ac:dyDescent="0.25">
      <c r="A399" t="s">
        <v>41</v>
      </c>
      <c r="B399" s="4" t="s">
        <v>381</v>
      </c>
      <c r="C399" s="8">
        <v>150</v>
      </c>
      <c r="D399" s="4">
        <v>300</v>
      </c>
      <c r="E399">
        <v>259.5</v>
      </c>
      <c r="F399" s="4">
        <v>2500</v>
      </c>
      <c r="G399" s="8">
        <v>2100</v>
      </c>
      <c r="H399" s="4">
        <v>100</v>
      </c>
      <c r="I399" s="4">
        <v>250</v>
      </c>
      <c r="J399" s="4">
        <v>100</v>
      </c>
      <c r="K399" s="4">
        <v>250</v>
      </c>
      <c r="L399">
        <v>519</v>
      </c>
      <c r="M399">
        <f t="shared" si="199"/>
        <v>419</v>
      </c>
      <c r="N399" s="4">
        <v>2</v>
      </c>
      <c r="O399" s="4">
        <v>25</v>
      </c>
      <c r="P399" s="21">
        <f t="shared" si="201"/>
        <v>981.74770424681037</v>
      </c>
      <c r="Q399" s="29">
        <f t="shared" si="213"/>
        <v>2.5221520982577017E-2</v>
      </c>
      <c r="R399" s="21">
        <v>567.79999999999995</v>
      </c>
      <c r="S399" s="41">
        <f t="shared" si="196"/>
        <v>2</v>
      </c>
      <c r="T399" s="41">
        <f t="shared" si="197"/>
        <v>1.6146435452793835</v>
      </c>
      <c r="U399" s="4">
        <v>20</v>
      </c>
      <c r="V399" s="4">
        <v>34.450000000000003</v>
      </c>
      <c r="W399" s="4" t="s">
        <v>463</v>
      </c>
      <c r="X399" s="7">
        <v>0.5</v>
      </c>
      <c r="Y399" s="4">
        <v>32.200000000000003</v>
      </c>
      <c r="Z399" s="8">
        <v>0.5</v>
      </c>
      <c r="AA399" s="4">
        <v>0.92</v>
      </c>
      <c r="AB399" s="21">
        <f t="shared" si="190"/>
        <v>35</v>
      </c>
      <c r="AC399" s="4">
        <v>700</v>
      </c>
      <c r="AD399" s="7">
        <f t="shared" si="202"/>
        <v>8.7499999999999994E-2</v>
      </c>
      <c r="AE399" s="21">
        <f t="shared" si="200"/>
        <v>112535</v>
      </c>
      <c r="AF399" s="21">
        <f t="shared" si="215"/>
        <v>225.07</v>
      </c>
      <c r="AG399" s="41">
        <f t="shared" ref="AG399:AG409" si="216">AM399/(C399*E399)*1000</f>
        <v>2.9214193962748878</v>
      </c>
      <c r="AH399" s="45">
        <f t="shared" si="203"/>
        <v>0.49773627727002967</v>
      </c>
      <c r="AI399" s="45">
        <f t="shared" si="204"/>
        <v>0.8978370017372298</v>
      </c>
      <c r="AJ399" s="21">
        <f>225.07/2</f>
        <v>112.535</v>
      </c>
      <c r="AK399" s="21">
        <f t="shared" si="205"/>
        <v>1.125</v>
      </c>
      <c r="AL399" s="21">
        <f t="shared" si="198"/>
        <v>1.1812499999999999</v>
      </c>
      <c r="AM399" s="21">
        <f t="shared" si="189"/>
        <v>113.71625</v>
      </c>
      <c r="AN399" s="41">
        <f t="shared" si="206"/>
        <v>2.9214193962748878</v>
      </c>
      <c r="AO399" s="41">
        <f t="shared" si="207"/>
        <v>0.49773627727002967</v>
      </c>
      <c r="AP399" s="41">
        <f t="shared" si="208"/>
        <v>0.8978370017372298</v>
      </c>
      <c r="AQ399" s="21">
        <f t="shared" si="209"/>
        <v>0.43905318749999994</v>
      </c>
      <c r="AR399" s="21">
        <f t="shared" si="210"/>
        <v>58.405664999999999</v>
      </c>
      <c r="AS399" s="21">
        <f t="shared" si="211"/>
        <v>58.8447181875</v>
      </c>
      <c r="AT399" s="41">
        <f t="shared" si="212"/>
        <v>1.9941030397826858</v>
      </c>
      <c r="AU399" s="4"/>
    </row>
    <row r="400" spans="1:59" x14ac:dyDescent="0.25">
      <c r="A400">
        <v>2018</v>
      </c>
      <c r="B400" s="4" t="s">
        <v>382</v>
      </c>
      <c r="C400" s="8">
        <v>150</v>
      </c>
      <c r="D400" s="4">
        <v>300</v>
      </c>
      <c r="E400">
        <v>259.5</v>
      </c>
      <c r="F400" s="4">
        <v>2500</v>
      </c>
      <c r="G400" s="8">
        <v>2100</v>
      </c>
      <c r="H400" s="4">
        <v>100</v>
      </c>
      <c r="I400" s="4">
        <v>250</v>
      </c>
      <c r="J400" s="4">
        <v>100</v>
      </c>
      <c r="K400" s="4">
        <v>250</v>
      </c>
      <c r="L400">
        <v>519</v>
      </c>
      <c r="M400">
        <f t="shared" si="199"/>
        <v>419</v>
      </c>
      <c r="N400" s="4">
        <v>2</v>
      </c>
      <c r="O400" s="4">
        <v>25</v>
      </c>
      <c r="P400" s="21">
        <f t="shared" si="201"/>
        <v>981.74770424681037</v>
      </c>
      <c r="Q400" s="29">
        <f t="shared" si="213"/>
        <v>2.5221520982577017E-2</v>
      </c>
      <c r="R400" s="21">
        <v>567.79999999999995</v>
      </c>
      <c r="S400" s="41">
        <f t="shared" si="196"/>
        <v>2</v>
      </c>
      <c r="T400" s="41">
        <f t="shared" si="197"/>
        <v>1.6146435452793835</v>
      </c>
      <c r="U400" s="4">
        <v>20</v>
      </c>
      <c r="V400" s="4">
        <v>36.08</v>
      </c>
      <c r="W400" s="4" t="s">
        <v>463</v>
      </c>
      <c r="X400" s="7">
        <v>0.5</v>
      </c>
      <c r="Y400" s="4">
        <v>32.200000000000003</v>
      </c>
      <c r="Z400" s="8">
        <v>1</v>
      </c>
      <c r="AA400" s="4">
        <v>0.92</v>
      </c>
      <c r="AB400" s="21">
        <f t="shared" si="190"/>
        <v>35</v>
      </c>
      <c r="AC400" s="4">
        <v>700</v>
      </c>
      <c r="AD400" s="7">
        <f t="shared" si="202"/>
        <v>0.17499999999999999</v>
      </c>
      <c r="AE400" s="21">
        <f t="shared" si="200"/>
        <v>138060</v>
      </c>
      <c r="AF400" s="21">
        <f t="shared" si="215"/>
        <v>276.12</v>
      </c>
      <c r="AG400" s="41">
        <f t="shared" si="216"/>
        <v>3.5771676300578035</v>
      </c>
      <c r="AH400" s="45">
        <f t="shared" si="203"/>
        <v>0.59553326858311106</v>
      </c>
      <c r="AI400" s="45">
        <f t="shared" si="204"/>
        <v>1.0825561938844033</v>
      </c>
      <c r="AJ400" s="21">
        <f>276.12/2</f>
        <v>138.06</v>
      </c>
      <c r="AK400" s="21">
        <f t="shared" si="205"/>
        <v>1.125</v>
      </c>
      <c r="AL400" s="21">
        <f t="shared" si="198"/>
        <v>1.1812499999999999</v>
      </c>
      <c r="AM400" s="21">
        <f t="shared" si="189"/>
        <v>139.24125000000001</v>
      </c>
      <c r="AN400" s="41">
        <f t="shared" si="206"/>
        <v>3.5771676300578035</v>
      </c>
      <c r="AO400" s="41">
        <f t="shared" si="207"/>
        <v>0.59553326858311106</v>
      </c>
      <c r="AP400" s="41">
        <f t="shared" si="208"/>
        <v>1.0825561938844033</v>
      </c>
      <c r="AQ400" s="21">
        <f t="shared" si="209"/>
        <v>0.43905318749999994</v>
      </c>
      <c r="AR400" s="21">
        <f t="shared" si="210"/>
        <v>71.653139999999993</v>
      </c>
      <c r="AS400" s="21">
        <f t="shared" si="211"/>
        <v>72.092193187499987</v>
      </c>
      <c r="AT400" s="41">
        <f t="shared" si="212"/>
        <v>1.9951840406322681</v>
      </c>
      <c r="AU400" s="4"/>
    </row>
    <row r="401" spans="1:59" x14ac:dyDescent="0.25">
      <c r="B401" s="4" t="s">
        <v>383</v>
      </c>
      <c r="C401" s="8">
        <v>150</v>
      </c>
      <c r="D401" s="4">
        <v>300</v>
      </c>
      <c r="E401">
        <v>259.5</v>
      </c>
      <c r="F401" s="4">
        <v>2500</v>
      </c>
      <c r="G401" s="8">
        <v>2100</v>
      </c>
      <c r="H401" s="4">
        <v>100</v>
      </c>
      <c r="I401" s="4">
        <v>250</v>
      </c>
      <c r="J401" s="4">
        <v>100</v>
      </c>
      <c r="K401" s="4">
        <v>250</v>
      </c>
      <c r="L401">
        <v>519</v>
      </c>
      <c r="M401">
        <f t="shared" si="199"/>
        <v>419</v>
      </c>
      <c r="N401" s="4">
        <v>2</v>
      </c>
      <c r="O401" s="4">
        <v>25</v>
      </c>
      <c r="P401" s="21">
        <f t="shared" si="201"/>
        <v>981.74770424681037</v>
      </c>
      <c r="Q401" s="29">
        <f t="shared" si="213"/>
        <v>2.5221520982577017E-2</v>
      </c>
      <c r="R401" s="21">
        <v>567.79999999999995</v>
      </c>
      <c r="S401" s="41">
        <f t="shared" si="196"/>
        <v>2</v>
      </c>
      <c r="T401" s="41">
        <f t="shared" si="197"/>
        <v>1.6146435452793835</v>
      </c>
      <c r="U401" s="4">
        <v>20</v>
      </c>
      <c r="V401" s="4">
        <v>37.130000000000003</v>
      </c>
      <c r="W401" s="4" t="s">
        <v>463</v>
      </c>
      <c r="X401" s="7">
        <v>0.5</v>
      </c>
      <c r="Y401" s="4">
        <v>32.200000000000003</v>
      </c>
      <c r="Z401" s="8">
        <v>1.5</v>
      </c>
      <c r="AA401" s="4">
        <v>0.92</v>
      </c>
      <c r="AB401" s="21">
        <f t="shared" si="190"/>
        <v>35</v>
      </c>
      <c r="AC401" s="4">
        <v>700</v>
      </c>
      <c r="AD401" s="7">
        <f t="shared" si="202"/>
        <v>0.26250000000000001</v>
      </c>
      <c r="AE401" s="21">
        <f t="shared" si="200"/>
        <v>155450</v>
      </c>
      <c r="AF401" s="21">
        <f t="shared" si="215"/>
        <v>310.89999999999998</v>
      </c>
      <c r="AG401" s="41">
        <f t="shared" si="216"/>
        <v>4.023924213230571</v>
      </c>
      <c r="AH401" s="45">
        <f t="shared" si="203"/>
        <v>0.66036997346455395</v>
      </c>
      <c r="AI401" s="45">
        <f t="shared" si="204"/>
        <v>1.2061689457741307</v>
      </c>
      <c r="AJ401" s="21">
        <f>310.9/2</f>
        <v>155.44999999999999</v>
      </c>
      <c r="AK401" s="21">
        <f t="shared" si="205"/>
        <v>1.125</v>
      </c>
      <c r="AL401" s="21">
        <f t="shared" si="198"/>
        <v>1.1812499999999999</v>
      </c>
      <c r="AM401" s="21">
        <f t="shared" si="189"/>
        <v>156.63124999999999</v>
      </c>
      <c r="AN401" s="41">
        <f t="shared" si="206"/>
        <v>4.0239242132305719</v>
      </c>
      <c r="AO401" s="41">
        <f t="shared" si="207"/>
        <v>0.66036997346455417</v>
      </c>
      <c r="AP401" s="41">
        <f t="shared" si="208"/>
        <v>1.2061689457741309</v>
      </c>
      <c r="AQ401" s="21">
        <f t="shared" si="209"/>
        <v>0.43905318749999994</v>
      </c>
      <c r="AR401" s="21">
        <f t="shared" si="210"/>
        <v>80.678549999999987</v>
      </c>
      <c r="AS401" s="21">
        <f t="shared" si="211"/>
        <v>81.117603187499981</v>
      </c>
      <c r="AT401" s="41">
        <f t="shared" si="212"/>
        <v>1.9957187329966899</v>
      </c>
      <c r="AU401" s="4"/>
    </row>
    <row r="402" spans="1:59" x14ac:dyDescent="0.25">
      <c r="A402" s="1"/>
      <c r="B402" s="10" t="s">
        <v>384</v>
      </c>
      <c r="C402" s="9">
        <v>150</v>
      </c>
      <c r="D402" s="10">
        <v>300</v>
      </c>
      <c r="E402" s="1">
        <v>259.5</v>
      </c>
      <c r="F402" s="10">
        <v>2500</v>
      </c>
      <c r="G402" s="9">
        <v>2100</v>
      </c>
      <c r="H402" s="10">
        <v>100</v>
      </c>
      <c r="I402" s="10">
        <v>250</v>
      </c>
      <c r="J402" s="10">
        <v>100</v>
      </c>
      <c r="K402" s="10">
        <v>250</v>
      </c>
      <c r="L402" s="1">
        <v>519</v>
      </c>
      <c r="M402" s="1">
        <f t="shared" si="199"/>
        <v>419</v>
      </c>
      <c r="N402" s="10">
        <v>2</v>
      </c>
      <c r="O402" s="10">
        <v>25</v>
      </c>
      <c r="P402" s="27">
        <f t="shared" si="201"/>
        <v>981.74770424681037</v>
      </c>
      <c r="Q402" s="36">
        <f t="shared" si="213"/>
        <v>2.5221520982577017E-2</v>
      </c>
      <c r="R402" s="27">
        <v>567.79999999999995</v>
      </c>
      <c r="S402" s="48">
        <f t="shared" si="196"/>
        <v>2</v>
      </c>
      <c r="T402" s="48">
        <f t="shared" si="197"/>
        <v>1.6146435452793835</v>
      </c>
      <c r="U402" s="10">
        <v>20</v>
      </c>
      <c r="V402" s="10">
        <v>35.26</v>
      </c>
      <c r="W402" s="10" t="s">
        <v>463</v>
      </c>
      <c r="X402" s="7">
        <v>0.5</v>
      </c>
      <c r="Y402" s="10">
        <v>32.200000000000003</v>
      </c>
      <c r="Z402" s="9">
        <v>2</v>
      </c>
      <c r="AA402" s="10">
        <v>0.92</v>
      </c>
      <c r="AB402" s="27">
        <f t="shared" si="190"/>
        <v>35</v>
      </c>
      <c r="AC402" s="10">
        <v>700</v>
      </c>
      <c r="AD402" s="7">
        <f t="shared" si="202"/>
        <v>0.35</v>
      </c>
      <c r="AE402" s="27">
        <f t="shared" si="200"/>
        <v>148805</v>
      </c>
      <c r="AF402" s="27">
        <f t="shared" si="215"/>
        <v>297.61</v>
      </c>
      <c r="AG402" s="48">
        <f t="shared" si="216"/>
        <v>3.853211303789339</v>
      </c>
      <c r="AH402" s="45">
        <f t="shared" si="203"/>
        <v>0.64890582350003723</v>
      </c>
      <c r="AI402" s="45">
        <f t="shared" si="204"/>
        <v>1.1750654480558516</v>
      </c>
      <c r="AJ402" s="27">
        <f>297.61/2</f>
        <v>148.80500000000001</v>
      </c>
      <c r="AK402" s="21">
        <f t="shared" si="205"/>
        <v>1.125</v>
      </c>
      <c r="AL402" s="27">
        <f t="shared" si="198"/>
        <v>1.1812499999999999</v>
      </c>
      <c r="AM402" s="27">
        <f t="shared" si="189"/>
        <v>149.98625000000001</v>
      </c>
      <c r="AN402" s="41">
        <f t="shared" si="206"/>
        <v>3.8532113037893385</v>
      </c>
      <c r="AO402" s="41">
        <f t="shared" si="207"/>
        <v>0.64890582350003712</v>
      </c>
      <c r="AP402" s="41">
        <f t="shared" si="208"/>
        <v>1.1750654480558513</v>
      </c>
      <c r="AQ402" s="21">
        <f t="shared" si="209"/>
        <v>0.43905318749999994</v>
      </c>
      <c r="AR402" s="21">
        <f t="shared" si="210"/>
        <v>77.229794999999996</v>
      </c>
      <c r="AS402" s="21">
        <f t="shared" si="211"/>
        <v>77.668848187499989</v>
      </c>
      <c r="AT402" s="41">
        <f t="shared" si="212"/>
        <v>1.9955290554813379</v>
      </c>
      <c r="AU402" s="10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</row>
    <row r="403" spans="1:59" x14ac:dyDescent="0.25">
      <c r="A403" t="s">
        <v>42</v>
      </c>
      <c r="B403" s="4" t="s">
        <v>225</v>
      </c>
      <c r="C403" s="8">
        <v>100</v>
      </c>
      <c r="D403" s="4">
        <v>152.6</v>
      </c>
      <c r="E403" s="4">
        <v>127</v>
      </c>
      <c r="F403">
        <f>G403+80</f>
        <v>1604</v>
      </c>
      <c r="G403" s="8">
        <v>1524</v>
      </c>
      <c r="H403" s="4">
        <v>10</v>
      </c>
      <c r="I403" s="4">
        <v>100</v>
      </c>
      <c r="J403" s="4">
        <v>10</v>
      </c>
      <c r="K403" s="4">
        <v>100</v>
      </c>
      <c r="L403">
        <f>3.6*E403</f>
        <v>457.2</v>
      </c>
      <c r="M403">
        <f t="shared" si="199"/>
        <v>447.2</v>
      </c>
      <c r="N403" s="4">
        <v>2</v>
      </c>
      <c r="O403">
        <f>25.4/2</f>
        <v>12.7</v>
      </c>
      <c r="P403" s="21">
        <f t="shared" si="201"/>
        <v>253.35373954874885</v>
      </c>
      <c r="Q403" s="29">
        <f t="shared" si="213"/>
        <v>1.9949113350295186E-2</v>
      </c>
      <c r="R403" s="21">
        <v>474.5</v>
      </c>
      <c r="S403" s="41">
        <f>L403/E403</f>
        <v>3.6</v>
      </c>
      <c r="T403" s="41">
        <f t="shared" si="197"/>
        <v>3.5212598425196848</v>
      </c>
      <c r="U403" s="4">
        <v>2</v>
      </c>
      <c r="V403">
        <f>3000/145</f>
        <v>20.689655172413794</v>
      </c>
      <c r="W403" s="4" t="s">
        <v>464</v>
      </c>
      <c r="X403" s="7">
        <v>0.5</v>
      </c>
      <c r="Y403" s="4">
        <v>7.05</v>
      </c>
      <c r="Z403" s="8">
        <v>1</v>
      </c>
      <c r="AA403" s="4">
        <v>0.28199999999999997</v>
      </c>
      <c r="AB403" s="21">
        <v>25</v>
      </c>
      <c r="AC403" s="4">
        <v>4913</v>
      </c>
      <c r="AD403" s="7">
        <f t="shared" si="202"/>
        <v>0.125</v>
      </c>
      <c r="AE403" s="21">
        <f t="shared" si="200"/>
        <v>20915.000000000004</v>
      </c>
      <c r="AF403" s="21">
        <f t="shared" si="215"/>
        <v>41.830000000000005</v>
      </c>
      <c r="AG403" s="41">
        <f t="shared" si="216"/>
        <v>1.6697403937007878</v>
      </c>
      <c r="AH403" s="45">
        <f t="shared" si="203"/>
        <v>0.36708980846727818</v>
      </c>
      <c r="AI403" s="45">
        <f t="shared" si="204"/>
        <v>0.60822537674171373</v>
      </c>
      <c r="AJ403" s="21">
        <f>4.45*4.7</f>
        <v>20.915000000000003</v>
      </c>
      <c r="AK403" s="21">
        <f t="shared" si="205"/>
        <v>0.38150000000000001</v>
      </c>
      <c r="AL403" s="21">
        <f t="shared" si="198"/>
        <v>0.29070300000000004</v>
      </c>
      <c r="AM403" s="21">
        <f t="shared" si="189"/>
        <v>21.205703000000003</v>
      </c>
      <c r="AN403" s="41">
        <f t="shared" si="206"/>
        <v>1.6697403937007878</v>
      </c>
      <c r="AO403" s="41">
        <f t="shared" si="207"/>
        <v>0.36708980846727818</v>
      </c>
      <c r="AP403" s="41">
        <f t="shared" si="208"/>
        <v>0.60822537674171373</v>
      </c>
      <c r="AQ403" s="21">
        <f t="shared" si="209"/>
        <v>9.2731388120000022E-2</v>
      </c>
      <c r="AR403" s="21">
        <f t="shared" si="210"/>
        <v>9.5623380000000022</v>
      </c>
      <c r="AS403" s="21">
        <f t="shared" si="211"/>
        <v>9.6550693881200029</v>
      </c>
      <c r="AT403" s="41">
        <f t="shared" si="212"/>
        <v>3.5850812590553454</v>
      </c>
      <c r="AU403" s="4"/>
    </row>
    <row r="404" spans="1:59" x14ac:dyDescent="0.25">
      <c r="A404">
        <v>1984</v>
      </c>
      <c r="B404" s="4" t="s">
        <v>358</v>
      </c>
      <c r="C404" s="8">
        <v>100</v>
      </c>
      <c r="D404" s="4">
        <v>152.6</v>
      </c>
      <c r="E404" s="4">
        <v>127</v>
      </c>
      <c r="F404">
        <f t="shared" ref="F404:F409" si="217">G404+80</f>
        <v>842</v>
      </c>
      <c r="G404" s="8">
        <v>762</v>
      </c>
      <c r="H404" s="4">
        <v>10</v>
      </c>
      <c r="I404" s="4">
        <v>100</v>
      </c>
      <c r="J404" s="4">
        <v>10</v>
      </c>
      <c r="K404" s="4">
        <v>100</v>
      </c>
      <c r="L404">
        <f>2*E404</f>
        <v>254</v>
      </c>
      <c r="M404">
        <f t="shared" si="199"/>
        <v>244</v>
      </c>
      <c r="N404" s="4">
        <v>2</v>
      </c>
      <c r="O404">
        <f t="shared" ref="O404:O409" si="218">25.4/2</f>
        <v>12.7</v>
      </c>
      <c r="P404" s="21">
        <f t="shared" si="201"/>
        <v>253.35373954874885</v>
      </c>
      <c r="Q404" s="29">
        <f t="shared" si="213"/>
        <v>1.9949113350295186E-2</v>
      </c>
      <c r="R404" s="21">
        <v>474.5</v>
      </c>
      <c r="S404" s="41">
        <f>L404/E404</f>
        <v>2</v>
      </c>
      <c r="T404" s="41">
        <f t="shared" si="197"/>
        <v>1.921259842519685</v>
      </c>
      <c r="U404" s="4">
        <v>2</v>
      </c>
      <c r="V404">
        <f t="shared" ref="V404:V409" si="219">3000/145</f>
        <v>20.689655172413794</v>
      </c>
      <c r="W404" s="4" t="s">
        <v>465</v>
      </c>
      <c r="X404" s="7">
        <v>0.5</v>
      </c>
      <c r="Y404" s="4">
        <v>25</v>
      </c>
      <c r="Z404" s="8">
        <v>1</v>
      </c>
      <c r="AA404" s="4">
        <v>0.25</v>
      </c>
      <c r="AB404" s="21">
        <f>Y404/AA404</f>
        <v>100</v>
      </c>
      <c r="AC404">
        <f t="shared" ref="AC404:AC409" si="220">(1900+2800)/2</f>
        <v>2350</v>
      </c>
      <c r="AD404" s="7">
        <f t="shared" si="202"/>
        <v>0.5</v>
      </c>
      <c r="AE404" s="21">
        <f t="shared" si="200"/>
        <v>29503.5</v>
      </c>
      <c r="AF404" s="21">
        <f t="shared" si="215"/>
        <v>59.006999999999998</v>
      </c>
      <c r="AG404" s="41">
        <f t="shared" si="216"/>
        <v>2.3345552362204725</v>
      </c>
      <c r="AH404" s="45">
        <f t="shared" si="203"/>
        <v>0.51324830958963119</v>
      </c>
      <c r="AI404" s="45">
        <f t="shared" si="204"/>
        <v>0.85039311705660603</v>
      </c>
      <c r="AJ404" s="21">
        <f>4.45*6.63</f>
        <v>29.503499999999999</v>
      </c>
      <c r="AK404" s="21">
        <f t="shared" si="205"/>
        <v>0.38150000000000001</v>
      </c>
      <c r="AL404" s="21">
        <f t="shared" si="198"/>
        <v>0.14535150000000002</v>
      </c>
      <c r="AM404" s="21">
        <f t="shared" si="189"/>
        <v>29.648851499999999</v>
      </c>
      <c r="AN404" s="41">
        <f t="shared" si="206"/>
        <v>2.3345552362204725</v>
      </c>
      <c r="AO404" s="41">
        <f t="shared" si="207"/>
        <v>0.51324830958963119</v>
      </c>
      <c r="AP404" s="41">
        <f t="shared" si="208"/>
        <v>0.85039311705660603</v>
      </c>
      <c r="AQ404" s="21">
        <f t="shared" si="209"/>
        <v>2.4307654000000005E-2</v>
      </c>
      <c r="AR404" s="21">
        <f t="shared" si="210"/>
        <v>7.4938890000000002</v>
      </c>
      <c r="AS404" s="21">
        <f t="shared" si="211"/>
        <v>7.5181966540000005</v>
      </c>
      <c r="AT404" s="41">
        <f t="shared" si="212"/>
        <v>1.9966506577967684</v>
      </c>
    </row>
    <row r="405" spans="1:59" x14ac:dyDescent="0.25">
      <c r="B405" s="4" t="s">
        <v>385</v>
      </c>
      <c r="C405" s="8">
        <v>100</v>
      </c>
      <c r="D405" s="4">
        <v>152.6</v>
      </c>
      <c r="E405" s="4">
        <v>127</v>
      </c>
      <c r="F405">
        <f t="shared" si="217"/>
        <v>842</v>
      </c>
      <c r="G405" s="8">
        <v>762</v>
      </c>
      <c r="H405" s="4">
        <v>10</v>
      </c>
      <c r="I405" s="4">
        <v>100</v>
      </c>
      <c r="J405" s="4">
        <v>10</v>
      </c>
      <c r="K405" s="4">
        <v>100</v>
      </c>
      <c r="L405">
        <f>2.4*E405</f>
        <v>304.8</v>
      </c>
      <c r="M405">
        <f t="shared" si="199"/>
        <v>294.8</v>
      </c>
      <c r="N405" s="4">
        <v>2</v>
      </c>
      <c r="O405">
        <f t="shared" si="218"/>
        <v>12.7</v>
      </c>
      <c r="P405" s="21">
        <f t="shared" si="201"/>
        <v>253.35373954874885</v>
      </c>
      <c r="Q405" s="29">
        <f t="shared" si="213"/>
        <v>1.9949113350295186E-2</v>
      </c>
      <c r="R405" s="21">
        <v>474.5</v>
      </c>
      <c r="S405" s="41">
        <f t="shared" si="196"/>
        <v>2.4</v>
      </c>
      <c r="T405" s="41">
        <f t="shared" si="197"/>
        <v>2.3212598425196851</v>
      </c>
      <c r="U405" s="4">
        <v>2</v>
      </c>
      <c r="V405">
        <f t="shared" si="219"/>
        <v>20.689655172413794</v>
      </c>
      <c r="W405" s="4" t="s">
        <v>465</v>
      </c>
      <c r="X405" s="7">
        <v>0.5</v>
      </c>
      <c r="Y405" s="4">
        <v>25</v>
      </c>
      <c r="Z405" s="8">
        <v>1</v>
      </c>
      <c r="AA405" s="4">
        <v>0.25</v>
      </c>
      <c r="AB405" s="21">
        <f t="shared" ref="AB405:AB420" si="221">Y405/AA405</f>
        <v>100</v>
      </c>
      <c r="AC405">
        <f t="shared" si="220"/>
        <v>2350</v>
      </c>
      <c r="AD405" s="7">
        <f t="shared" si="202"/>
        <v>0.5</v>
      </c>
      <c r="AE405" s="21">
        <f t="shared" si="200"/>
        <v>29503.5</v>
      </c>
      <c r="AF405" s="21">
        <f t="shared" si="215"/>
        <v>59.006999999999998</v>
      </c>
      <c r="AG405" s="41">
        <f t="shared" si="216"/>
        <v>2.3345552362204725</v>
      </c>
      <c r="AH405" s="45">
        <f t="shared" si="203"/>
        <v>0.51324830958963119</v>
      </c>
      <c r="AI405" s="45">
        <f t="shared" si="204"/>
        <v>0.85039311705660603</v>
      </c>
      <c r="AJ405" s="21">
        <f>4.45*6.63</f>
        <v>29.503499999999999</v>
      </c>
      <c r="AK405" s="21">
        <f t="shared" si="205"/>
        <v>0.38150000000000001</v>
      </c>
      <c r="AL405" s="21">
        <f t="shared" si="198"/>
        <v>0.14535150000000002</v>
      </c>
      <c r="AM405" s="21">
        <f t="shared" si="189"/>
        <v>29.648851499999999</v>
      </c>
      <c r="AN405" s="41">
        <f t="shared" si="206"/>
        <v>2.3345552362204725</v>
      </c>
      <c r="AO405" s="41">
        <f t="shared" si="207"/>
        <v>0.51324830958963119</v>
      </c>
      <c r="AP405" s="41">
        <f t="shared" si="208"/>
        <v>0.85039311705660603</v>
      </c>
      <c r="AQ405" s="21">
        <f t="shared" si="209"/>
        <v>2.6276682320000005E-2</v>
      </c>
      <c r="AR405" s="21">
        <f t="shared" si="210"/>
        <v>8.9926668000000003</v>
      </c>
      <c r="AS405" s="21">
        <f t="shared" si="211"/>
        <v>9.018943482320001</v>
      </c>
      <c r="AT405" s="41">
        <f t="shared" si="212"/>
        <v>2.3952126108626404</v>
      </c>
    </row>
    <row r="406" spans="1:59" x14ac:dyDescent="0.25">
      <c r="B406" s="4" t="s">
        <v>349</v>
      </c>
      <c r="C406" s="8">
        <v>100</v>
      </c>
      <c r="D406" s="4">
        <v>152.6</v>
      </c>
      <c r="E406" s="4">
        <v>127</v>
      </c>
      <c r="F406">
        <f t="shared" si="217"/>
        <v>842</v>
      </c>
      <c r="G406" s="8">
        <v>762</v>
      </c>
      <c r="H406" s="4">
        <v>10</v>
      </c>
      <c r="I406" s="4">
        <v>100</v>
      </c>
      <c r="J406" s="4">
        <v>10</v>
      </c>
      <c r="K406" s="4">
        <v>100</v>
      </c>
      <c r="L406">
        <f>2*E406</f>
        <v>254</v>
      </c>
      <c r="M406">
        <f t="shared" si="199"/>
        <v>244</v>
      </c>
      <c r="N406" s="4">
        <v>2</v>
      </c>
      <c r="O406">
        <f t="shared" si="218"/>
        <v>12.7</v>
      </c>
      <c r="P406" s="21">
        <f t="shared" si="201"/>
        <v>253.35373954874885</v>
      </c>
      <c r="Q406" s="29">
        <f t="shared" si="213"/>
        <v>1.9949113350295186E-2</v>
      </c>
      <c r="R406" s="21">
        <v>474.5</v>
      </c>
      <c r="S406" s="41">
        <f t="shared" si="196"/>
        <v>2</v>
      </c>
      <c r="T406" s="41">
        <f t="shared" si="197"/>
        <v>1.921259842519685</v>
      </c>
      <c r="U406" s="4">
        <v>2</v>
      </c>
      <c r="V406">
        <f t="shared" si="219"/>
        <v>20.689655172413794</v>
      </c>
      <c r="W406" s="4" t="s">
        <v>465</v>
      </c>
      <c r="X406" s="7">
        <v>0.5</v>
      </c>
      <c r="Y406" s="4">
        <v>12.5</v>
      </c>
      <c r="Z406" s="8">
        <v>1</v>
      </c>
      <c r="AA406" s="4">
        <v>0.15</v>
      </c>
      <c r="AB406" s="21">
        <f t="shared" si="221"/>
        <v>83.333333333333343</v>
      </c>
      <c r="AC406">
        <f t="shared" si="220"/>
        <v>2350</v>
      </c>
      <c r="AD406" s="7">
        <f t="shared" si="202"/>
        <v>0.41666666666666674</v>
      </c>
      <c r="AE406" s="21">
        <f t="shared" si="200"/>
        <v>40050.000000000007</v>
      </c>
      <c r="AF406" s="21">
        <f t="shared" si="215"/>
        <v>80.100000000000009</v>
      </c>
      <c r="AG406" s="41">
        <f t="shared" si="216"/>
        <v>3.164988307086614</v>
      </c>
      <c r="AH406" s="45">
        <f t="shared" si="203"/>
        <v>0.69581771863021558</v>
      </c>
      <c r="AI406" s="45">
        <f t="shared" si="204"/>
        <v>1.1528895226606306</v>
      </c>
      <c r="AJ406" s="21">
        <f>4.45*9</f>
        <v>40.050000000000004</v>
      </c>
      <c r="AK406" s="21">
        <f t="shared" si="205"/>
        <v>0.38150000000000001</v>
      </c>
      <c r="AL406" s="21">
        <f t="shared" si="198"/>
        <v>0.14535150000000002</v>
      </c>
      <c r="AM406" s="21">
        <f t="shared" si="189"/>
        <v>40.195351500000001</v>
      </c>
      <c r="AN406" s="41">
        <f t="shared" si="206"/>
        <v>3.1649883070866145</v>
      </c>
      <c r="AO406" s="41">
        <f t="shared" si="207"/>
        <v>0.69581771863021569</v>
      </c>
      <c r="AP406" s="41">
        <f t="shared" si="208"/>
        <v>1.1528895226606308</v>
      </c>
      <c r="AQ406" s="21">
        <f t="shared" si="209"/>
        <v>2.4307654000000005E-2</v>
      </c>
      <c r="AR406" s="21">
        <f t="shared" si="210"/>
        <v>10.172700000000001</v>
      </c>
      <c r="AS406" s="21">
        <f t="shared" si="211"/>
        <v>10.197007654</v>
      </c>
      <c r="AT406" s="41">
        <f t="shared" si="212"/>
        <v>1.9975294618432105</v>
      </c>
    </row>
    <row r="407" spans="1:59" x14ac:dyDescent="0.25">
      <c r="B407" s="4" t="s">
        <v>351</v>
      </c>
      <c r="C407" s="8">
        <v>100</v>
      </c>
      <c r="D407" s="4">
        <v>152.6</v>
      </c>
      <c r="E407" s="4">
        <v>127</v>
      </c>
      <c r="F407">
        <f t="shared" si="217"/>
        <v>1604</v>
      </c>
      <c r="G407" s="8">
        <v>1524</v>
      </c>
      <c r="H407" s="4">
        <v>10</v>
      </c>
      <c r="I407" s="4">
        <v>100</v>
      </c>
      <c r="J407" s="4">
        <v>10</v>
      </c>
      <c r="K407" s="4">
        <v>100</v>
      </c>
      <c r="L407">
        <f>3.6*E407</f>
        <v>457.2</v>
      </c>
      <c r="M407">
        <f t="shared" si="199"/>
        <v>447.2</v>
      </c>
      <c r="N407" s="4">
        <v>2</v>
      </c>
      <c r="O407">
        <f t="shared" si="218"/>
        <v>12.7</v>
      </c>
      <c r="P407" s="21">
        <f t="shared" si="201"/>
        <v>253.35373954874885</v>
      </c>
      <c r="Q407" s="29">
        <f t="shared" si="213"/>
        <v>1.9949113350295186E-2</v>
      </c>
      <c r="R407" s="21">
        <v>474.5</v>
      </c>
      <c r="S407" s="41">
        <f t="shared" si="196"/>
        <v>3.6</v>
      </c>
      <c r="T407" s="41">
        <f t="shared" si="197"/>
        <v>3.5212598425196848</v>
      </c>
      <c r="U407" s="4">
        <v>2</v>
      </c>
      <c r="V407">
        <f t="shared" si="219"/>
        <v>20.689655172413794</v>
      </c>
      <c r="W407" s="4" t="s">
        <v>465</v>
      </c>
      <c r="X407" s="7">
        <v>0.5</v>
      </c>
      <c r="Y407" s="4">
        <v>12.5</v>
      </c>
      <c r="Z407" s="8">
        <v>1</v>
      </c>
      <c r="AA407" s="4">
        <v>0.15</v>
      </c>
      <c r="AB407" s="21">
        <f t="shared" si="221"/>
        <v>83.333333333333343</v>
      </c>
      <c r="AC407">
        <f t="shared" si="220"/>
        <v>2350</v>
      </c>
      <c r="AD407" s="7">
        <f t="shared" si="202"/>
        <v>0.41666666666666674</v>
      </c>
      <c r="AE407" s="21">
        <f t="shared" si="200"/>
        <v>28702.5</v>
      </c>
      <c r="AF407" s="21">
        <f t="shared" si="215"/>
        <v>57.405000000000001</v>
      </c>
      <c r="AG407" s="41">
        <f t="shared" si="216"/>
        <v>2.2829293700787403</v>
      </c>
      <c r="AH407" s="45">
        <f t="shared" si="203"/>
        <v>0.50189844383479831</v>
      </c>
      <c r="AI407" s="45">
        <f t="shared" si="204"/>
        <v>0.83158770155481199</v>
      </c>
      <c r="AJ407" s="21">
        <f>4.45*6.45</f>
        <v>28.702500000000001</v>
      </c>
      <c r="AK407" s="21">
        <f t="shared" si="205"/>
        <v>0.38150000000000001</v>
      </c>
      <c r="AL407" s="21">
        <f t="shared" si="198"/>
        <v>0.29070300000000004</v>
      </c>
      <c r="AM407" s="21">
        <f t="shared" si="189"/>
        <v>28.993203000000001</v>
      </c>
      <c r="AN407" s="41">
        <f t="shared" si="206"/>
        <v>2.2829293700787403</v>
      </c>
      <c r="AO407" s="41">
        <f t="shared" si="207"/>
        <v>0.50189844383479831</v>
      </c>
      <c r="AP407" s="41">
        <f t="shared" si="208"/>
        <v>0.83158770155481199</v>
      </c>
      <c r="AQ407" s="21">
        <f t="shared" si="209"/>
        <v>9.2731388120000022E-2</v>
      </c>
      <c r="AR407" s="21">
        <f t="shared" si="210"/>
        <v>13.122783</v>
      </c>
      <c r="AS407" s="21">
        <f t="shared" si="211"/>
        <v>13.215514388120001</v>
      </c>
      <c r="AT407" s="41">
        <f t="shared" si="212"/>
        <v>3.5890883946279999</v>
      </c>
    </row>
    <row r="408" spans="1:59" x14ac:dyDescent="0.25">
      <c r="B408" s="4" t="s">
        <v>386</v>
      </c>
      <c r="C408" s="8">
        <v>100</v>
      </c>
      <c r="D408" s="4">
        <v>152.6</v>
      </c>
      <c r="E408" s="4">
        <v>127</v>
      </c>
      <c r="F408">
        <f t="shared" si="217"/>
        <v>1604</v>
      </c>
      <c r="G408" s="8">
        <v>1524</v>
      </c>
      <c r="H408" s="4">
        <v>10</v>
      </c>
      <c r="I408" s="4">
        <v>100</v>
      </c>
      <c r="J408" s="4">
        <v>10</v>
      </c>
      <c r="K408" s="4">
        <v>100</v>
      </c>
      <c r="L408">
        <f>E408*4.8</f>
        <v>609.6</v>
      </c>
      <c r="M408">
        <f t="shared" si="199"/>
        <v>599.6</v>
      </c>
      <c r="N408" s="4">
        <v>2</v>
      </c>
      <c r="O408">
        <f t="shared" si="218"/>
        <v>12.7</v>
      </c>
      <c r="P408" s="21">
        <f t="shared" si="201"/>
        <v>253.35373954874885</v>
      </c>
      <c r="Q408" s="29">
        <f t="shared" si="213"/>
        <v>1.9949113350295186E-2</v>
      </c>
      <c r="R408" s="21">
        <v>474.5</v>
      </c>
      <c r="S408" s="41">
        <f t="shared" si="196"/>
        <v>4.8</v>
      </c>
      <c r="T408" s="41">
        <f t="shared" si="197"/>
        <v>4.721259842519685</v>
      </c>
      <c r="U408" s="4">
        <v>2</v>
      </c>
      <c r="V408">
        <f t="shared" si="219"/>
        <v>20.689655172413794</v>
      </c>
      <c r="W408" s="4" t="s">
        <v>465</v>
      </c>
      <c r="X408" s="7">
        <v>0.5</v>
      </c>
      <c r="Y408" s="4">
        <v>12.5</v>
      </c>
      <c r="Z408" s="8">
        <v>1</v>
      </c>
      <c r="AA408" s="4">
        <v>0.15</v>
      </c>
      <c r="AB408" s="21">
        <f t="shared" si="221"/>
        <v>83.333333333333343</v>
      </c>
      <c r="AC408">
        <f t="shared" si="220"/>
        <v>2350</v>
      </c>
      <c r="AD408" s="7">
        <f t="shared" si="202"/>
        <v>0.41666666666666674</v>
      </c>
      <c r="AE408" s="21">
        <f t="shared" si="200"/>
        <v>24475</v>
      </c>
      <c r="AF408" s="21">
        <f t="shared" si="215"/>
        <v>48.95</v>
      </c>
      <c r="AG408" s="41">
        <f t="shared" si="216"/>
        <v>1.9500553543307089</v>
      </c>
      <c r="AH408" s="45">
        <f t="shared" si="203"/>
        <v>0.42871661320671595</v>
      </c>
      <c r="AI408" s="45">
        <f t="shared" si="204"/>
        <v>0.71033386808484433</v>
      </c>
      <c r="AJ408" s="21">
        <f>4.45*5.5</f>
        <v>24.475000000000001</v>
      </c>
      <c r="AK408" s="21">
        <f t="shared" si="205"/>
        <v>0.38150000000000001</v>
      </c>
      <c r="AL408" s="21">
        <f t="shared" si="198"/>
        <v>0.29070300000000004</v>
      </c>
      <c r="AM408" s="21">
        <f t="shared" si="189"/>
        <v>24.765703000000002</v>
      </c>
      <c r="AN408" s="41">
        <f t="shared" si="206"/>
        <v>1.9500553543307089</v>
      </c>
      <c r="AO408" s="41">
        <f t="shared" si="207"/>
        <v>0.42871661320671595</v>
      </c>
      <c r="AP408" s="41">
        <f t="shared" si="208"/>
        <v>0.71033386808484433</v>
      </c>
      <c r="AQ408" s="21">
        <f t="shared" si="209"/>
        <v>0.10602232928000001</v>
      </c>
      <c r="AR408" s="21">
        <f t="shared" si="210"/>
        <v>14.919960000000001</v>
      </c>
      <c r="AS408" s="21">
        <f t="shared" si="211"/>
        <v>15.025982329280001</v>
      </c>
      <c r="AT408" s="41">
        <f t="shared" si="212"/>
        <v>4.7773657582178757</v>
      </c>
    </row>
    <row r="409" spans="1:59" x14ac:dyDescent="0.25">
      <c r="A409" s="1"/>
      <c r="B409" s="10" t="s">
        <v>387</v>
      </c>
      <c r="C409" s="9">
        <v>100</v>
      </c>
      <c r="D409" s="10">
        <v>152.6</v>
      </c>
      <c r="E409" s="10">
        <v>127</v>
      </c>
      <c r="F409" s="1">
        <f t="shared" si="217"/>
        <v>842</v>
      </c>
      <c r="G409" s="9">
        <v>762</v>
      </c>
      <c r="H409" s="10">
        <v>10</v>
      </c>
      <c r="I409" s="10">
        <v>100</v>
      </c>
      <c r="J409" s="10">
        <v>10</v>
      </c>
      <c r="K409" s="10">
        <v>100</v>
      </c>
      <c r="L409" s="1">
        <f>2*E409</f>
        <v>254</v>
      </c>
      <c r="M409" s="1">
        <f t="shared" si="199"/>
        <v>244</v>
      </c>
      <c r="N409" s="10">
        <v>2</v>
      </c>
      <c r="O409" s="1">
        <f t="shared" si="218"/>
        <v>12.7</v>
      </c>
      <c r="P409" s="27">
        <f t="shared" si="201"/>
        <v>253.35373954874885</v>
      </c>
      <c r="Q409" s="36">
        <f t="shared" si="213"/>
        <v>1.9949113350295186E-2</v>
      </c>
      <c r="R409" s="27">
        <v>474.5</v>
      </c>
      <c r="S409" s="48">
        <f t="shared" si="196"/>
        <v>2</v>
      </c>
      <c r="T409" s="48">
        <f t="shared" si="197"/>
        <v>1.921259842519685</v>
      </c>
      <c r="U409" s="10">
        <v>2</v>
      </c>
      <c r="V409" s="1">
        <f t="shared" si="219"/>
        <v>20.689655172413794</v>
      </c>
      <c r="W409" s="10" t="s">
        <v>465</v>
      </c>
      <c r="X409" s="7">
        <v>0.5</v>
      </c>
      <c r="Y409" s="10">
        <v>25</v>
      </c>
      <c r="Z409" s="9">
        <v>1</v>
      </c>
      <c r="AA409" s="10">
        <v>0.4</v>
      </c>
      <c r="AB409" s="27">
        <f t="shared" si="221"/>
        <v>62.5</v>
      </c>
      <c r="AC409" s="1">
        <f t="shared" si="220"/>
        <v>2350</v>
      </c>
      <c r="AD409" s="7">
        <f t="shared" si="202"/>
        <v>0.3125</v>
      </c>
      <c r="AE409" s="27">
        <f t="shared" si="200"/>
        <v>32930</v>
      </c>
      <c r="AF409" s="27">
        <f t="shared" si="215"/>
        <v>65.86</v>
      </c>
      <c r="AG409" s="48">
        <f t="shared" si="216"/>
        <v>2.6043583858267714</v>
      </c>
      <c r="AH409" s="45">
        <f t="shared" si="203"/>
        <v>0.57256410915134004</v>
      </c>
      <c r="AI409" s="45">
        <f t="shared" si="204"/>
        <v>0.94867253997436918</v>
      </c>
      <c r="AJ409" s="27">
        <f>4.45*7.4</f>
        <v>32.93</v>
      </c>
      <c r="AK409" s="21">
        <f t="shared" si="205"/>
        <v>0.38150000000000001</v>
      </c>
      <c r="AL409" s="27">
        <f t="shared" si="198"/>
        <v>0.14535150000000002</v>
      </c>
      <c r="AM409" s="27">
        <f t="shared" si="189"/>
        <v>33.075351499999996</v>
      </c>
      <c r="AN409" s="41">
        <f t="shared" si="206"/>
        <v>2.6043583858267714</v>
      </c>
      <c r="AO409" s="41">
        <f t="shared" si="207"/>
        <v>0.57256410915134004</v>
      </c>
      <c r="AP409" s="41">
        <f t="shared" si="208"/>
        <v>0.94867253997436918</v>
      </c>
      <c r="AQ409" s="21">
        <f t="shared" si="209"/>
        <v>2.4307654000000005E-2</v>
      </c>
      <c r="AR409" s="21">
        <f t="shared" si="210"/>
        <v>8.3642199999999995</v>
      </c>
      <c r="AS409" s="21">
        <f t="shared" si="211"/>
        <v>8.3885276539999989</v>
      </c>
      <c r="AT409" s="41">
        <f t="shared" si="212"/>
        <v>1.9969976388729747</v>
      </c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</row>
    <row r="410" spans="1:59" x14ac:dyDescent="0.25">
      <c r="A410" t="s">
        <v>43</v>
      </c>
      <c r="B410" s="4" t="s">
        <v>388</v>
      </c>
      <c r="C410" s="8">
        <v>100</v>
      </c>
      <c r="D410" s="4">
        <v>200</v>
      </c>
      <c r="E410" s="4">
        <v>175</v>
      </c>
      <c r="F410" s="4">
        <v>900</v>
      </c>
      <c r="G410" s="8">
        <f t="shared" ref="G410:G415" si="222">F410-200</f>
        <v>700</v>
      </c>
      <c r="H410" s="4">
        <v>10</v>
      </c>
      <c r="I410" s="4">
        <v>100</v>
      </c>
      <c r="J410" s="4">
        <v>10</v>
      </c>
      <c r="K410" s="4">
        <v>100</v>
      </c>
      <c r="L410">
        <f>2*E410</f>
        <v>350</v>
      </c>
      <c r="M410">
        <f t="shared" si="199"/>
        <v>340</v>
      </c>
      <c r="N410" s="4">
        <v>2</v>
      </c>
      <c r="O410" s="4">
        <v>20</v>
      </c>
      <c r="P410" s="21">
        <f t="shared" si="201"/>
        <v>628.31853071795865</v>
      </c>
      <c r="Q410" s="29">
        <f t="shared" si="213"/>
        <v>3.5903916041026211E-2</v>
      </c>
      <c r="R410" s="21">
        <v>414</v>
      </c>
      <c r="S410" s="41">
        <f t="shared" si="196"/>
        <v>2</v>
      </c>
      <c r="T410" s="41">
        <f t="shared" si="197"/>
        <v>1.9428571428571428</v>
      </c>
      <c r="U410" s="4">
        <v>13</v>
      </c>
      <c r="V410">
        <v>80</v>
      </c>
      <c r="W410" s="4" t="s">
        <v>466</v>
      </c>
      <c r="X410" s="7">
        <v>0.5</v>
      </c>
      <c r="Y410" s="4">
        <v>40</v>
      </c>
      <c r="Z410" s="8">
        <v>0.5</v>
      </c>
      <c r="AA410" s="4">
        <v>0.4</v>
      </c>
      <c r="AB410" s="21">
        <f t="shared" si="221"/>
        <v>100</v>
      </c>
      <c r="AC410" s="4">
        <v>1856</v>
      </c>
      <c r="AD410" s="7">
        <f t="shared" si="202"/>
        <v>0.25</v>
      </c>
      <c r="AE410" s="21">
        <f t="shared" si="200"/>
        <v>119700</v>
      </c>
      <c r="AF410" s="21">
        <f t="shared" ref="AF410:AF415" si="223">AJ410*G410/(G410-L410)</f>
        <v>239.4</v>
      </c>
      <c r="AG410" s="41">
        <v>6.84</v>
      </c>
      <c r="AH410" s="45">
        <f t="shared" si="203"/>
        <v>0.76473524830492801</v>
      </c>
      <c r="AI410" s="45">
        <f t="shared" si="204"/>
        <v>1.5874233810955709</v>
      </c>
      <c r="AJ410" s="21">
        <f t="shared" ref="AJ410:AJ415" si="224">AG410*C410*E410/1000</f>
        <v>119.7</v>
      </c>
      <c r="AK410" s="21">
        <f t="shared" si="205"/>
        <v>0.5</v>
      </c>
      <c r="AL410" s="21">
        <f t="shared" si="198"/>
        <v>0.17499999999999999</v>
      </c>
      <c r="AM410" s="21">
        <f t="shared" si="189"/>
        <v>119.875</v>
      </c>
      <c r="AN410" s="41">
        <f t="shared" si="206"/>
        <v>6.85</v>
      </c>
      <c r="AO410" s="41">
        <f t="shared" si="207"/>
        <v>0.76585328229367788</v>
      </c>
      <c r="AP410" s="41">
        <f t="shared" si="208"/>
        <v>1.5897441755123773</v>
      </c>
      <c r="AQ410" s="21">
        <f t="shared" si="209"/>
        <v>2.8125000000000011E-2</v>
      </c>
      <c r="AR410" s="21">
        <f t="shared" si="210"/>
        <v>41.895000000000003</v>
      </c>
      <c r="AS410" s="21">
        <f t="shared" si="211"/>
        <v>41.923125000000006</v>
      </c>
      <c r="AT410" s="41">
        <f t="shared" si="212"/>
        <v>1.9984209742291081</v>
      </c>
    </row>
    <row r="411" spans="1:59" x14ac:dyDescent="0.25">
      <c r="A411">
        <v>1994</v>
      </c>
      <c r="B411" s="4" t="s">
        <v>389</v>
      </c>
      <c r="C411" s="8">
        <v>100</v>
      </c>
      <c r="D411" s="4">
        <v>200</v>
      </c>
      <c r="E411" s="4">
        <v>175</v>
      </c>
      <c r="F411" s="4">
        <v>900</v>
      </c>
      <c r="G411" s="8">
        <f t="shared" si="222"/>
        <v>700</v>
      </c>
      <c r="H411" s="4">
        <v>10</v>
      </c>
      <c r="I411" s="4">
        <v>100</v>
      </c>
      <c r="J411" s="4">
        <v>10</v>
      </c>
      <c r="K411" s="4">
        <v>100</v>
      </c>
      <c r="L411">
        <f>2*E411</f>
        <v>350</v>
      </c>
      <c r="M411">
        <f t="shared" si="199"/>
        <v>340</v>
      </c>
      <c r="N411" s="4">
        <v>2</v>
      </c>
      <c r="O411" s="4">
        <v>20</v>
      </c>
      <c r="P411" s="21">
        <f t="shared" si="201"/>
        <v>628.31853071795865</v>
      </c>
      <c r="Q411" s="29">
        <f t="shared" si="213"/>
        <v>3.5903916041026211E-2</v>
      </c>
      <c r="R411" s="21">
        <v>414</v>
      </c>
      <c r="S411" s="41">
        <f t="shared" si="196"/>
        <v>2</v>
      </c>
      <c r="T411" s="41">
        <f t="shared" si="197"/>
        <v>1.9428571428571428</v>
      </c>
      <c r="U411" s="4">
        <v>13</v>
      </c>
      <c r="V411">
        <v>80</v>
      </c>
      <c r="W411" s="4" t="s">
        <v>466</v>
      </c>
      <c r="X411" s="7">
        <v>0.5</v>
      </c>
      <c r="Y411" s="4">
        <v>40</v>
      </c>
      <c r="Z411" s="8">
        <v>1</v>
      </c>
      <c r="AA411" s="4">
        <v>0.4</v>
      </c>
      <c r="AB411" s="21">
        <f t="shared" si="221"/>
        <v>100</v>
      </c>
      <c r="AC411" s="4">
        <v>1856</v>
      </c>
      <c r="AD411" s="7">
        <f t="shared" si="202"/>
        <v>0.5</v>
      </c>
      <c r="AE411" s="21">
        <f t="shared" si="200"/>
        <v>129500</v>
      </c>
      <c r="AF411" s="21">
        <f t="shared" si="223"/>
        <v>259</v>
      </c>
      <c r="AG411" s="41">
        <v>7.4</v>
      </c>
      <c r="AH411" s="45">
        <f t="shared" si="203"/>
        <v>0.82734515167492217</v>
      </c>
      <c r="AI411" s="45">
        <f t="shared" si="204"/>
        <v>1.717387868436729</v>
      </c>
      <c r="AJ411" s="21">
        <f t="shared" si="224"/>
        <v>129.5</v>
      </c>
      <c r="AK411" s="21">
        <f t="shared" si="205"/>
        <v>0.5</v>
      </c>
      <c r="AL411" s="21">
        <f t="shared" si="198"/>
        <v>0.17499999999999999</v>
      </c>
      <c r="AM411" s="21">
        <f t="shared" ref="AM411:AM453" si="225">AJ411+AL411</f>
        <v>129.67500000000001</v>
      </c>
      <c r="AN411" s="41">
        <f t="shared" si="206"/>
        <v>7.410000000000001</v>
      </c>
      <c r="AO411" s="41">
        <f t="shared" si="207"/>
        <v>0.82846318566367216</v>
      </c>
      <c r="AP411" s="41">
        <f t="shared" si="208"/>
        <v>1.7197086628535354</v>
      </c>
      <c r="AQ411" s="21">
        <f t="shared" si="209"/>
        <v>2.8125000000000011E-2</v>
      </c>
      <c r="AR411" s="21">
        <f t="shared" si="210"/>
        <v>45.325000000000003</v>
      </c>
      <c r="AS411" s="21">
        <f t="shared" si="211"/>
        <v>45.353125000000006</v>
      </c>
      <c r="AT411" s="41">
        <f t="shared" si="212"/>
        <v>1.9985403068109835</v>
      </c>
    </row>
    <row r="412" spans="1:59" x14ac:dyDescent="0.25">
      <c r="B412" s="4" t="s">
        <v>390</v>
      </c>
      <c r="C412" s="8">
        <v>100</v>
      </c>
      <c r="D412" s="4">
        <v>200</v>
      </c>
      <c r="E412" s="4">
        <v>175</v>
      </c>
      <c r="F412" s="4">
        <v>1250</v>
      </c>
      <c r="G412" s="8">
        <f t="shared" si="222"/>
        <v>1050</v>
      </c>
      <c r="H412" s="4">
        <v>10</v>
      </c>
      <c r="I412" s="4">
        <v>100</v>
      </c>
      <c r="J412" s="4">
        <v>10</v>
      </c>
      <c r="K412" s="4">
        <v>100</v>
      </c>
      <c r="L412">
        <f>3*E412</f>
        <v>525</v>
      </c>
      <c r="M412">
        <f t="shared" si="199"/>
        <v>515</v>
      </c>
      <c r="N412" s="4">
        <v>2</v>
      </c>
      <c r="O412" s="4">
        <v>20</v>
      </c>
      <c r="P412" s="21">
        <f t="shared" si="201"/>
        <v>628.31853071795865</v>
      </c>
      <c r="Q412" s="29">
        <f t="shared" si="213"/>
        <v>3.5903916041026211E-2</v>
      </c>
      <c r="R412" s="21">
        <v>414</v>
      </c>
      <c r="S412" s="41">
        <f t="shared" si="196"/>
        <v>3</v>
      </c>
      <c r="T412" s="41">
        <f t="shared" si="197"/>
        <v>2.9428571428571431</v>
      </c>
      <c r="U412" s="4">
        <v>13</v>
      </c>
      <c r="V412">
        <v>80</v>
      </c>
      <c r="W412" s="4" t="s">
        <v>466</v>
      </c>
      <c r="X412" s="7">
        <v>0.5</v>
      </c>
      <c r="Y412" s="4">
        <v>40</v>
      </c>
      <c r="Z412" s="8">
        <v>0.5</v>
      </c>
      <c r="AA412" s="4">
        <v>0.4</v>
      </c>
      <c r="AB412" s="21">
        <f t="shared" si="221"/>
        <v>100</v>
      </c>
      <c r="AC412" s="4">
        <v>1856</v>
      </c>
      <c r="AD412" s="7">
        <f t="shared" si="202"/>
        <v>0.25</v>
      </c>
      <c r="AE412" s="21">
        <f t="shared" si="200"/>
        <v>55825</v>
      </c>
      <c r="AF412" s="21">
        <f t="shared" si="223"/>
        <v>111.65</v>
      </c>
      <c r="AG412" s="41">
        <v>3.19</v>
      </c>
      <c r="AH412" s="45">
        <f t="shared" si="203"/>
        <v>0.35665284241121642</v>
      </c>
      <c r="AI412" s="45">
        <f t="shared" si="204"/>
        <v>0.7403334189612385</v>
      </c>
      <c r="AJ412" s="21">
        <f t="shared" si="224"/>
        <v>55.825000000000003</v>
      </c>
      <c r="AK412" s="21">
        <f t="shared" si="205"/>
        <v>0.5</v>
      </c>
      <c r="AL412" s="21">
        <f t="shared" si="198"/>
        <v>0.26250000000000001</v>
      </c>
      <c r="AM412" s="21">
        <f t="shared" si="225"/>
        <v>56.087500000000006</v>
      </c>
      <c r="AN412" s="41">
        <f t="shared" si="206"/>
        <v>3.2050000000000005</v>
      </c>
      <c r="AO412" s="41">
        <f t="shared" si="207"/>
        <v>0.35832989339434135</v>
      </c>
      <c r="AP412" s="41">
        <f t="shared" si="208"/>
        <v>0.74381461058644827</v>
      </c>
      <c r="AQ412" s="21">
        <f t="shared" si="209"/>
        <v>6.640625E-2</v>
      </c>
      <c r="AR412" s="21">
        <f t="shared" si="210"/>
        <v>29.308125</v>
      </c>
      <c r="AS412" s="21">
        <f t="shared" si="211"/>
        <v>29.37453125</v>
      </c>
      <c r="AT412" s="41">
        <f t="shared" si="212"/>
        <v>2.9927250151230536</v>
      </c>
    </row>
    <row r="413" spans="1:59" x14ac:dyDescent="0.25">
      <c r="B413" s="4" t="s">
        <v>391</v>
      </c>
      <c r="C413" s="8">
        <v>100</v>
      </c>
      <c r="D413" s="4">
        <v>200</v>
      </c>
      <c r="E413" s="4">
        <v>175</v>
      </c>
      <c r="F413" s="4">
        <v>1250</v>
      </c>
      <c r="G413" s="8">
        <f t="shared" si="222"/>
        <v>1050</v>
      </c>
      <c r="H413" s="4">
        <v>10</v>
      </c>
      <c r="I413" s="4">
        <v>100</v>
      </c>
      <c r="J413" s="4">
        <v>10</v>
      </c>
      <c r="K413" s="4">
        <v>100</v>
      </c>
      <c r="L413">
        <f>3*E413</f>
        <v>525</v>
      </c>
      <c r="M413">
        <f t="shared" si="199"/>
        <v>515</v>
      </c>
      <c r="N413" s="4">
        <v>2</v>
      </c>
      <c r="O413" s="4">
        <v>20</v>
      </c>
      <c r="P413" s="21">
        <f t="shared" si="201"/>
        <v>628.31853071795865</v>
      </c>
      <c r="Q413" s="29">
        <f t="shared" si="213"/>
        <v>3.5903916041026211E-2</v>
      </c>
      <c r="R413" s="21">
        <v>414</v>
      </c>
      <c r="S413" s="41">
        <f t="shared" si="196"/>
        <v>3</v>
      </c>
      <c r="T413" s="41">
        <f t="shared" si="197"/>
        <v>2.9428571428571431</v>
      </c>
      <c r="U413" s="4">
        <v>13</v>
      </c>
      <c r="V413">
        <v>80</v>
      </c>
      <c r="W413" s="4" t="s">
        <v>466</v>
      </c>
      <c r="X413" s="7">
        <v>0.5</v>
      </c>
      <c r="Y413" s="4">
        <v>40</v>
      </c>
      <c r="Z413" s="8">
        <v>1</v>
      </c>
      <c r="AA413" s="4">
        <v>0.4</v>
      </c>
      <c r="AB413" s="21">
        <f t="shared" si="221"/>
        <v>100</v>
      </c>
      <c r="AC413" s="4">
        <v>1856</v>
      </c>
      <c r="AD413" s="7">
        <f t="shared" si="202"/>
        <v>0.5</v>
      </c>
      <c r="AE413" s="21">
        <f t="shared" si="200"/>
        <v>71749.999999999985</v>
      </c>
      <c r="AF413" s="21">
        <f t="shared" si="223"/>
        <v>143.49999999999997</v>
      </c>
      <c r="AG413" s="41">
        <v>4.0999999999999996</v>
      </c>
      <c r="AH413" s="45">
        <f t="shared" si="203"/>
        <v>0.45839393538745682</v>
      </c>
      <c r="AI413" s="45">
        <f t="shared" si="204"/>
        <v>0.95152571089061999</v>
      </c>
      <c r="AJ413" s="21">
        <f t="shared" si="224"/>
        <v>71.749999999999986</v>
      </c>
      <c r="AK413" s="21">
        <f t="shared" si="205"/>
        <v>0.5</v>
      </c>
      <c r="AL413" s="21">
        <f t="shared" si="198"/>
        <v>0.26250000000000001</v>
      </c>
      <c r="AM413" s="21">
        <f t="shared" si="225"/>
        <v>72.012499999999989</v>
      </c>
      <c r="AN413" s="41">
        <f t="shared" si="206"/>
        <v>4.1149999999999993</v>
      </c>
      <c r="AO413" s="41">
        <f t="shared" si="207"/>
        <v>0.46007098637058164</v>
      </c>
      <c r="AP413" s="41">
        <f t="shared" si="208"/>
        <v>0.95500690251582943</v>
      </c>
      <c r="AQ413" s="21">
        <f t="shared" si="209"/>
        <v>6.640625E-2</v>
      </c>
      <c r="AR413" s="21">
        <f t="shared" si="210"/>
        <v>37.668749999999996</v>
      </c>
      <c r="AS413" s="21">
        <f t="shared" si="211"/>
        <v>37.735156249999996</v>
      </c>
      <c r="AT413" s="41">
        <f t="shared" si="212"/>
        <v>2.9943338210132171</v>
      </c>
    </row>
    <row r="414" spans="1:59" x14ac:dyDescent="0.25">
      <c r="B414" s="4" t="s">
        <v>392</v>
      </c>
      <c r="C414" s="8">
        <v>100</v>
      </c>
      <c r="D414" s="4">
        <v>200</v>
      </c>
      <c r="E414" s="4">
        <v>175</v>
      </c>
      <c r="F414" s="4">
        <v>1775</v>
      </c>
      <c r="G414" s="8">
        <f t="shared" si="222"/>
        <v>1575</v>
      </c>
      <c r="H414" s="4">
        <v>10</v>
      </c>
      <c r="I414" s="4">
        <v>100</v>
      </c>
      <c r="J414" s="4">
        <v>10</v>
      </c>
      <c r="K414" s="4">
        <v>100</v>
      </c>
      <c r="L414">
        <f>4.5*E414</f>
        <v>787.5</v>
      </c>
      <c r="M414">
        <f t="shared" si="199"/>
        <v>777.5</v>
      </c>
      <c r="N414" s="4">
        <v>2</v>
      </c>
      <c r="O414" s="4">
        <v>20</v>
      </c>
      <c r="P414" s="21">
        <f t="shared" si="201"/>
        <v>628.31853071795865</v>
      </c>
      <c r="Q414" s="29">
        <f t="shared" si="213"/>
        <v>3.5903916041026211E-2</v>
      </c>
      <c r="R414" s="21">
        <v>414</v>
      </c>
      <c r="S414" s="41">
        <f t="shared" si="196"/>
        <v>4.5</v>
      </c>
      <c r="T414" s="41">
        <f t="shared" si="197"/>
        <v>4.4428571428571431</v>
      </c>
      <c r="U414" s="4">
        <v>13</v>
      </c>
      <c r="V414">
        <v>80</v>
      </c>
      <c r="W414" s="4" t="s">
        <v>466</v>
      </c>
      <c r="X414" s="7">
        <v>0.5</v>
      </c>
      <c r="Y414" s="4">
        <v>40</v>
      </c>
      <c r="Z414" s="8">
        <v>0.5</v>
      </c>
      <c r="AA414" s="4">
        <v>0.4</v>
      </c>
      <c r="AB414" s="21">
        <f t="shared" si="221"/>
        <v>100</v>
      </c>
      <c r="AC414" s="4">
        <v>1856</v>
      </c>
      <c r="AD414" s="7">
        <f t="shared" si="202"/>
        <v>0.25</v>
      </c>
      <c r="AE414" s="21">
        <f t="shared" si="200"/>
        <v>48650</v>
      </c>
      <c r="AF414" s="21">
        <f t="shared" si="223"/>
        <v>97.3</v>
      </c>
      <c r="AG414" s="41">
        <v>2.78</v>
      </c>
      <c r="AH414" s="45">
        <f t="shared" si="203"/>
        <v>0.31081344887247075</v>
      </c>
      <c r="AI414" s="45">
        <f t="shared" si="204"/>
        <v>0.64518084787217644</v>
      </c>
      <c r="AJ414" s="21">
        <f t="shared" si="224"/>
        <v>48.65</v>
      </c>
      <c r="AK414" s="21">
        <f t="shared" si="205"/>
        <v>0.5</v>
      </c>
      <c r="AL414" s="21">
        <f t="shared" si="198"/>
        <v>0.39374999999999999</v>
      </c>
      <c r="AM414" s="21">
        <f t="shared" si="225"/>
        <v>49.043749999999996</v>
      </c>
      <c r="AN414" s="41">
        <f t="shared" si="206"/>
        <v>2.8024999999999998</v>
      </c>
      <c r="AO414" s="41">
        <f t="shared" si="207"/>
        <v>0.31332902534715801</v>
      </c>
      <c r="AP414" s="41">
        <f t="shared" si="208"/>
        <v>0.65040263530999087</v>
      </c>
      <c r="AQ414" s="21">
        <f t="shared" si="209"/>
        <v>0.15253906249999999</v>
      </c>
      <c r="AR414" s="21">
        <f t="shared" si="210"/>
        <v>38.311875000000001</v>
      </c>
      <c r="AS414" s="21">
        <f t="shared" si="211"/>
        <v>38.464414062499998</v>
      </c>
      <c r="AT414" s="41">
        <f t="shared" si="212"/>
        <v>4.4816444865189613</v>
      </c>
    </row>
    <row r="415" spans="1:59" x14ac:dyDescent="0.25">
      <c r="A415" s="1"/>
      <c r="B415" s="10" t="s">
        <v>393</v>
      </c>
      <c r="C415" s="9">
        <v>100</v>
      </c>
      <c r="D415" s="10">
        <v>200</v>
      </c>
      <c r="E415" s="10">
        <v>175</v>
      </c>
      <c r="F415" s="10">
        <v>1775</v>
      </c>
      <c r="G415" s="9">
        <f t="shared" si="222"/>
        <v>1575</v>
      </c>
      <c r="H415" s="10">
        <v>10</v>
      </c>
      <c r="I415" s="10">
        <v>100</v>
      </c>
      <c r="J415" s="10">
        <v>10</v>
      </c>
      <c r="K415" s="10">
        <v>100</v>
      </c>
      <c r="L415" s="1">
        <f>4.5*E415</f>
        <v>787.5</v>
      </c>
      <c r="M415" s="1">
        <f t="shared" si="199"/>
        <v>777.5</v>
      </c>
      <c r="N415" s="10">
        <v>2</v>
      </c>
      <c r="O415" s="10">
        <v>20</v>
      </c>
      <c r="P415" s="27">
        <f t="shared" si="201"/>
        <v>628.31853071795865</v>
      </c>
      <c r="Q415" s="36">
        <f t="shared" si="213"/>
        <v>3.5903916041026211E-2</v>
      </c>
      <c r="R415" s="27">
        <v>414</v>
      </c>
      <c r="S415" s="48">
        <f t="shared" si="196"/>
        <v>4.5</v>
      </c>
      <c r="T415" s="48">
        <f t="shared" si="197"/>
        <v>4.4428571428571431</v>
      </c>
      <c r="U415" s="10">
        <v>13</v>
      </c>
      <c r="V415" s="1">
        <v>80</v>
      </c>
      <c r="W415" s="10" t="s">
        <v>466</v>
      </c>
      <c r="X415" s="7">
        <v>0.5</v>
      </c>
      <c r="Y415" s="10">
        <v>40</v>
      </c>
      <c r="Z415" s="9">
        <v>1</v>
      </c>
      <c r="AA415" s="10">
        <v>0.4</v>
      </c>
      <c r="AB415" s="27">
        <f t="shared" si="221"/>
        <v>100</v>
      </c>
      <c r="AC415" s="10">
        <v>1856</v>
      </c>
      <c r="AD415" s="7">
        <f t="shared" si="202"/>
        <v>0.5</v>
      </c>
      <c r="AE415" s="27">
        <f t="shared" si="200"/>
        <v>60200</v>
      </c>
      <c r="AF415" s="27">
        <f t="shared" si="223"/>
        <v>120.4</v>
      </c>
      <c r="AG415" s="48">
        <v>3.44</v>
      </c>
      <c r="AH415" s="45">
        <f t="shared" si="203"/>
        <v>0.38460369212996381</v>
      </c>
      <c r="AI415" s="45">
        <f t="shared" si="204"/>
        <v>0.79835327938139822</v>
      </c>
      <c r="AJ415" s="27">
        <f t="shared" si="224"/>
        <v>60.2</v>
      </c>
      <c r="AK415" s="21">
        <f t="shared" si="205"/>
        <v>0.5</v>
      </c>
      <c r="AL415" s="27">
        <f t="shared" si="198"/>
        <v>0.39374999999999999</v>
      </c>
      <c r="AM415" s="27">
        <f t="shared" si="225"/>
        <v>60.59375</v>
      </c>
      <c r="AN415" s="41">
        <f t="shared" si="206"/>
        <v>3.4624999999999999</v>
      </c>
      <c r="AO415" s="41">
        <f t="shared" si="207"/>
        <v>0.38711926860465107</v>
      </c>
      <c r="AP415" s="41">
        <f t="shared" si="208"/>
        <v>0.80357506681921265</v>
      </c>
      <c r="AQ415" s="21">
        <f t="shared" si="209"/>
        <v>0.15253906249999999</v>
      </c>
      <c r="AR415" s="21">
        <f t="shared" si="210"/>
        <v>47.407499999999999</v>
      </c>
      <c r="AS415" s="21">
        <f t="shared" si="211"/>
        <v>47.560039062499996</v>
      </c>
      <c r="AT415" s="41">
        <f t="shared" si="212"/>
        <v>4.4851432991969347</v>
      </c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</row>
    <row r="416" spans="1:59" x14ac:dyDescent="0.25">
      <c r="A416" t="s">
        <v>44</v>
      </c>
      <c r="B416" s="4" t="s">
        <v>150</v>
      </c>
      <c r="C416" s="8">
        <v>200</v>
      </c>
      <c r="D416" s="4">
        <v>350</v>
      </c>
      <c r="E416" s="4">
        <v>300</v>
      </c>
      <c r="F416" s="4">
        <v>3600</v>
      </c>
      <c r="G416" s="8">
        <v>3250</v>
      </c>
      <c r="H416" s="4">
        <v>100</v>
      </c>
      <c r="I416" s="4">
        <v>200</v>
      </c>
      <c r="J416" s="4">
        <v>100</v>
      </c>
      <c r="K416" s="4">
        <v>200</v>
      </c>
      <c r="L416">
        <f>1.75*E416</f>
        <v>525</v>
      </c>
      <c r="M416">
        <f t="shared" si="199"/>
        <v>425</v>
      </c>
      <c r="N416" s="4">
        <v>3</v>
      </c>
      <c r="O416" s="4">
        <v>28</v>
      </c>
      <c r="P416" s="21">
        <f t="shared" si="201"/>
        <v>1847.2564803107985</v>
      </c>
      <c r="Q416" s="29">
        <f t="shared" si="213"/>
        <v>3.0787608005179976E-2</v>
      </c>
      <c r="R416" s="21">
        <v>550</v>
      </c>
      <c r="S416" s="41">
        <f t="shared" si="196"/>
        <v>1.75</v>
      </c>
      <c r="T416" s="41">
        <f t="shared" si="197"/>
        <v>1.4166666666666667</v>
      </c>
      <c r="U416" s="4">
        <v>10</v>
      </c>
      <c r="V416" s="4">
        <v>109.5</v>
      </c>
      <c r="W416" s="4" t="s">
        <v>456</v>
      </c>
      <c r="X416" s="7">
        <f t="shared" si="214"/>
        <v>1</v>
      </c>
      <c r="Y416" s="4">
        <v>60</v>
      </c>
      <c r="Z416" s="8">
        <v>0.75</v>
      </c>
      <c r="AA416" s="4">
        <v>0.8</v>
      </c>
      <c r="AB416" s="21">
        <f t="shared" si="221"/>
        <v>75</v>
      </c>
      <c r="AC416" s="4">
        <v>2000</v>
      </c>
      <c r="AD416" s="7">
        <f t="shared" si="202"/>
        <v>0.5625</v>
      </c>
      <c r="AE416" s="21">
        <f t="shared" si="200"/>
        <v>528255</v>
      </c>
      <c r="AF416" s="21">
        <v>1056.51</v>
      </c>
      <c r="AG416" s="41">
        <f>AM416/(C416*E416)*1000</f>
        <v>8.8516458333333325</v>
      </c>
      <c r="AH416" s="45">
        <f t="shared" si="203"/>
        <v>0.84589599606164734</v>
      </c>
      <c r="AI416" s="45">
        <f t="shared" si="204"/>
        <v>1.8502027515402222</v>
      </c>
      <c r="AJ416" s="21">
        <f>AF416/2</f>
        <v>528.255</v>
      </c>
      <c r="AK416" s="21">
        <f t="shared" si="205"/>
        <v>1.75</v>
      </c>
      <c r="AL416" s="21">
        <f t="shared" si="198"/>
        <v>2.8437500000000004</v>
      </c>
      <c r="AM416" s="21">
        <f t="shared" si="225"/>
        <v>531.09875</v>
      </c>
      <c r="AN416" s="41">
        <f t="shared" si="206"/>
        <v>8.8516458333333325</v>
      </c>
      <c r="AO416" s="41">
        <f t="shared" si="207"/>
        <v>0.84589599606164734</v>
      </c>
      <c r="AP416" s="41">
        <f t="shared" si="208"/>
        <v>1.8502027515402222</v>
      </c>
      <c r="AQ416" s="21">
        <f t="shared" si="209"/>
        <v>1.2250000000000001</v>
      </c>
      <c r="AR416" s="21">
        <f t="shared" si="210"/>
        <v>277.33387499999998</v>
      </c>
      <c r="AS416" s="21">
        <f t="shared" si="211"/>
        <v>278.558875</v>
      </c>
      <c r="AT416" s="41">
        <f t="shared" si="212"/>
        <v>1.7483181486179988</v>
      </c>
      <c r="AU416" s="4"/>
      <c r="AZ416" s="4"/>
    </row>
    <row r="417" spans="1:59" x14ac:dyDescent="0.25">
      <c r="A417">
        <v>1994</v>
      </c>
      <c r="B417" s="4" t="s">
        <v>394</v>
      </c>
      <c r="C417" s="8">
        <v>200</v>
      </c>
      <c r="D417" s="4">
        <v>350</v>
      </c>
      <c r="E417" s="4">
        <v>300</v>
      </c>
      <c r="F417" s="4">
        <v>3600</v>
      </c>
      <c r="G417" s="8">
        <v>3250</v>
      </c>
      <c r="H417" s="4">
        <v>100</v>
      </c>
      <c r="I417" s="4">
        <v>200</v>
      </c>
      <c r="J417" s="4">
        <v>100</v>
      </c>
      <c r="K417" s="4">
        <v>200</v>
      </c>
      <c r="L417">
        <f>2.5*E417</f>
        <v>750</v>
      </c>
      <c r="M417">
        <f t="shared" si="199"/>
        <v>650</v>
      </c>
      <c r="N417" s="4">
        <v>3</v>
      </c>
      <c r="O417" s="4">
        <v>28</v>
      </c>
      <c r="P417" s="21">
        <f t="shared" si="201"/>
        <v>1847.2564803107985</v>
      </c>
      <c r="Q417" s="29">
        <f t="shared" si="213"/>
        <v>3.0787608005179976E-2</v>
      </c>
      <c r="R417" s="21">
        <v>550</v>
      </c>
      <c r="S417" s="41">
        <f t="shared" si="196"/>
        <v>2.5</v>
      </c>
      <c r="T417" s="41">
        <f t="shared" si="197"/>
        <v>2.1666666666666665</v>
      </c>
      <c r="U417" s="4">
        <v>10</v>
      </c>
      <c r="V417" s="4">
        <v>110</v>
      </c>
      <c r="W417" s="4" t="s">
        <v>456</v>
      </c>
      <c r="X417" s="7">
        <f t="shared" si="214"/>
        <v>1</v>
      </c>
      <c r="Y417" s="4">
        <v>60</v>
      </c>
      <c r="Z417" s="8">
        <v>0.75</v>
      </c>
      <c r="AA417" s="4">
        <v>0.8</v>
      </c>
      <c r="AB417" s="21">
        <f t="shared" si="221"/>
        <v>75</v>
      </c>
      <c r="AC417" s="4">
        <v>2000</v>
      </c>
      <c r="AD417" s="7">
        <f t="shared" si="202"/>
        <v>0.5625</v>
      </c>
      <c r="AE417" s="21">
        <f t="shared" si="200"/>
        <v>284405</v>
      </c>
      <c r="AF417" s="21">
        <v>568.80999999999995</v>
      </c>
      <c r="AG417" s="41">
        <f>AM417/(C417*E417)*1000</f>
        <v>4.7874791666666665</v>
      </c>
      <c r="AH417" s="45">
        <f t="shared" si="203"/>
        <v>0.45646822822093303</v>
      </c>
      <c r="AI417" s="45">
        <f t="shared" si="204"/>
        <v>0.99917755268507547</v>
      </c>
      <c r="AJ417" s="21">
        <f>AF417/2</f>
        <v>284.40499999999997</v>
      </c>
      <c r="AK417" s="21">
        <f t="shared" si="205"/>
        <v>1.75</v>
      </c>
      <c r="AL417" s="21">
        <f t="shared" si="198"/>
        <v>2.8437500000000004</v>
      </c>
      <c r="AM417" s="21">
        <f t="shared" si="225"/>
        <v>287.24874999999997</v>
      </c>
      <c r="AN417" s="41">
        <f t="shared" si="206"/>
        <v>4.7874791666666665</v>
      </c>
      <c r="AO417" s="41">
        <f t="shared" si="207"/>
        <v>0.45646822822093303</v>
      </c>
      <c r="AP417" s="41">
        <f t="shared" si="208"/>
        <v>0.99917755268507547</v>
      </c>
      <c r="AQ417" s="21">
        <f t="shared" si="209"/>
        <v>1.6138281249999997</v>
      </c>
      <c r="AR417" s="21">
        <f t="shared" si="210"/>
        <v>213.30374999999998</v>
      </c>
      <c r="AS417" s="21">
        <f t="shared" si="211"/>
        <v>214.91757812499998</v>
      </c>
      <c r="AT417" s="41">
        <f t="shared" si="212"/>
        <v>2.493977526737134</v>
      </c>
      <c r="AU417" s="4"/>
    </row>
    <row r="418" spans="1:59" x14ac:dyDescent="0.25">
      <c r="B418" s="4" t="s">
        <v>143</v>
      </c>
      <c r="C418" s="8">
        <v>200</v>
      </c>
      <c r="D418" s="4">
        <v>350</v>
      </c>
      <c r="E418" s="4">
        <v>300</v>
      </c>
      <c r="F418" s="4">
        <v>3600</v>
      </c>
      <c r="G418" s="8">
        <v>3250</v>
      </c>
      <c r="H418" s="4">
        <v>100</v>
      </c>
      <c r="I418" s="4">
        <v>200</v>
      </c>
      <c r="J418" s="4">
        <v>100</v>
      </c>
      <c r="K418" s="4">
        <v>200</v>
      </c>
      <c r="L418">
        <f>3.5*300</f>
        <v>1050</v>
      </c>
      <c r="M418">
        <f t="shared" si="199"/>
        <v>950</v>
      </c>
      <c r="N418" s="4">
        <v>3</v>
      </c>
      <c r="O418" s="4">
        <v>28</v>
      </c>
      <c r="P418" s="21">
        <f t="shared" si="201"/>
        <v>1847.2564803107985</v>
      </c>
      <c r="Q418" s="29">
        <f t="shared" si="213"/>
        <v>3.0787608005179976E-2</v>
      </c>
      <c r="R418" s="21">
        <v>550</v>
      </c>
      <c r="S418" s="41">
        <f t="shared" si="196"/>
        <v>3.5</v>
      </c>
      <c r="T418" s="41">
        <f t="shared" si="197"/>
        <v>3.1666666666666665</v>
      </c>
      <c r="U418" s="4">
        <v>10</v>
      </c>
      <c r="V418" s="4">
        <v>111.5</v>
      </c>
      <c r="W418" s="4" t="s">
        <v>456</v>
      </c>
      <c r="X418" s="7">
        <f t="shared" si="214"/>
        <v>1</v>
      </c>
      <c r="Y418" s="4">
        <v>60</v>
      </c>
      <c r="Z418" s="8">
        <v>0.75</v>
      </c>
      <c r="AA418" s="4">
        <v>0.8</v>
      </c>
      <c r="AB418" s="21">
        <f t="shared" si="221"/>
        <v>75</v>
      </c>
      <c r="AC418" s="4">
        <v>2000</v>
      </c>
      <c r="AD418" s="7">
        <f t="shared" si="202"/>
        <v>0.5625</v>
      </c>
      <c r="AE418" s="21">
        <f t="shared" si="200"/>
        <v>208790</v>
      </c>
      <c r="AF418" s="21">
        <v>417.58</v>
      </c>
      <c r="AG418" s="41">
        <f>AM418/(C418*E418)*1000</f>
        <v>3.5272291666666664</v>
      </c>
      <c r="AH418" s="45">
        <f t="shared" si="203"/>
        <v>0.33403828348818221</v>
      </c>
      <c r="AI418" s="45">
        <f t="shared" si="204"/>
        <v>0.73283924939434786</v>
      </c>
      <c r="AJ418" s="21">
        <f>AF418/2</f>
        <v>208.79</v>
      </c>
      <c r="AK418" s="21">
        <f t="shared" si="205"/>
        <v>1.75</v>
      </c>
      <c r="AL418" s="21">
        <f t="shared" si="198"/>
        <v>2.8437500000000004</v>
      </c>
      <c r="AM418" s="21">
        <f t="shared" si="225"/>
        <v>211.63374999999999</v>
      </c>
      <c r="AN418" s="41">
        <f t="shared" si="206"/>
        <v>3.5272291666666669</v>
      </c>
      <c r="AO418" s="41">
        <f t="shared" si="207"/>
        <v>0.33403828348818226</v>
      </c>
      <c r="AP418" s="41">
        <f t="shared" si="208"/>
        <v>0.73283924939434786</v>
      </c>
      <c r="AQ418" s="21">
        <f t="shared" si="209"/>
        <v>1.9944531249999997</v>
      </c>
      <c r="AR418" s="21">
        <f t="shared" si="210"/>
        <v>219.2295</v>
      </c>
      <c r="AS418" s="21">
        <f t="shared" si="211"/>
        <v>221.22395312500001</v>
      </c>
      <c r="AT418" s="41">
        <f t="shared" si="212"/>
        <v>3.4843836443068903</v>
      </c>
      <c r="AU418" s="4"/>
    </row>
    <row r="419" spans="1:59" x14ac:dyDescent="0.25">
      <c r="A419" s="1"/>
      <c r="B419" s="10" t="s">
        <v>146</v>
      </c>
      <c r="C419" s="9">
        <v>200</v>
      </c>
      <c r="D419" s="10">
        <v>350</v>
      </c>
      <c r="E419" s="10">
        <v>300</v>
      </c>
      <c r="F419" s="10">
        <v>3600</v>
      </c>
      <c r="G419" s="9">
        <v>3250</v>
      </c>
      <c r="H419" s="10">
        <v>100</v>
      </c>
      <c r="I419" s="10">
        <v>200</v>
      </c>
      <c r="J419" s="10">
        <v>100</v>
      </c>
      <c r="K419" s="10">
        <v>200</v>
      </c>
      <c r="L419" s="1">
        <f>4.5*300</f>
        <v>1350</v>
      </c>
      <c r="M419" s="1">
        <f t="shared" si="199"/>
        <v>1250</v>
      </c>
      <c r="N419" s="10">
        <v>3</v>
      </c>
      <c r="O419" s="10">
        <v>28</v>
      </c>
      <c r="P419" s="27">
        <f t="shared" si="201"/>
        <v>1847.2564803107985</v>
      </c>
      <c r="Q419" s="36">
        <f t="shared" si="213"/>
        <v>3.0787608005179976E-2</v>
      </c>
      <c r="R419" s="27">
        <v>550</v>
      </c>
      <c r="S419" s="48">
        <f t="shared" si="196"/>
        <v>4.5</v>
      </c>
      <c r="T419" s="48">
        <f t="shared" si="197"/>
        <v>4.166666666666667</v>
      </c>
      <c r="U419" s="10">
        <v>10</v>
      </c>
      <c r="V419" s="10">
        <v>110.8</v>
      </c>
      <c r="W419" s="10" t="s">
        <v>456</v>
      </c>
      <c r="X419" s="7">
        <f t="shared" si="214"/>
        <v>1</v>
      </c>
      <c r="Y419" s="10">
        <v>60</v>
      </c>
      <c r="Z419" s="9">
        <v>0.75</v>
      </c>
      <c r="AA419" s="10">
        <v>0.8</v>
      </c>
      <c r="AB419" s="27">
        <f t="shared" si="221"/>
        <v>75</v>
      </c>
      <c r="AC419" s="10">
        <v>2000</v>
      </c>
      <c r="AD419" s="7">
        <f t="shared" si="202"/>
        <v>0.5625</v>
      </c>
      <c r="AE419" s="27">
        <f t="shared" si="200"/>
        <v>211830</v>
      </c>
      <c r="AF419" s="27">
        <v>423.66</v>
      </c>
      <c r="AG419" s="48">
        <f>AM419/(C419*E419)*1000</f>
        <v>3.5778958333333337</v>
      </c>
      <c r="AH419" s="45">
        <f t="shared" si="203"/>
        <v>0.33990520278294833</v>
      </c>
      <c r="AI419" s="45">
        <f t="shared" si="204"/>
        <v>0.74492824063265106</v>
      </c>
      <c r="AJ419" s="27">
        <f>AF419/2</f>
        <v>211.83</v>
      </c>
      <c r="AK419" s="21">
        <f t="shared" si="205"/>
        <v>1.75</v>
      </c>
      <c r="AL419" s="27">
        <f t="shared" si="198"/>
        <v>2.8437500000000004</v>
      </c>
      <c r="AM419" s="27">
        <f t="shared" si="225"/>
        <v>214.67375000000001</v>
      </c>
      <c r="AN419" s="41">
        <f t="shared" si="206"/>
        <v>3.5778958333333333</v>
      </c>
      <c r="AO419" s="41">
        <f t="shared" si="207"/>
        <v>0.33990520278294828</v>
      </c>
      <c r="AP419" s="41">
        <f t="shared" si="208"/>
        <v>0.74492824063265106</v>
      </c>
      <c r="AQ419" s="21">
        <f t="shared" si="209"/>
        <v>2.2175781250000002</v>
      </c>
      <c r="AR419" s="21">
        <f t="shared" si="210"/>
        <v>285.97050000000002</v>
      </c>
      <c r="AS419" s="21">
        <f t="shared" si="211"/>
        <v>288.188078125</v>
      </c>
      <c r="AT419" s="41">
        <f t="shared" si="212"/>
        <v>4.4748225019748951</v>
      </c>
      <c r="AU419" s="10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</row>
    <row r="420" spans="1:59" x14ac:dyDescent="0.25">
      <c r="A420" s="3" t="s">
        <v>45</v>
      </c>
      <c r="B420" s="14" t="s">
        <v>395</v>
      </c>
      <c r="C420" s="18">
        <v>150</v>
      </c>
      <c r="D420" s="14">
        <v>300</v>
      </c>
      <c r="E420" s="14">
        <v>255</v>
      </c>
      <c r="F420" s="14">
        <v>2400</v>
      </c>
      <c r="G420" s="18">
        <v>2000</v>
      </c>
      <c r="H420" s="14">
        <v>100</v>
      </c>
      <c r="I420" s="14">
        <v>150</v>
      </c>
      <c r="J420" s="14">
        <v>100</v>
      </c>
      <c r="K420" s="14">
        <v>150</v>
      </c>
      <c r="L420" s="3">
        <v>500</v>
      </c>
      <c r="M420" s="3">
        <f t="shared" si="199"/>
        <v>400</v>
      </c>
      <c r="N420" s="14">
        <v>6</v>
      </c>
      <c r="O420" s="14">
        <v>20</v>
      </c>
      <c r="P420" s="28">
        <f t="shared" si="201"/>
        <v>1884.9555921538758</v>
      </c>
      <c r="Q420" s="37">
        <f t="shared" si="213"/>
        <v>4.9279884762192833E-2</v>
      </c>
      <c r="R420" s="28">
        <v>421</v>
      </c>
      <c r="S420" s="53">
        <f t="shared" si="196"/>
        <v>1.9607843137254901</v>
      </c>
      <c r="T420" s="53">
        <f t="shared" si="197"/>
        <v>1.5686274509803921</v>
      </c>
      <c r="U420" s="14">
        <v>20</v>
      </c>
      <c r="V420" s="3">
        <f>0.82*68.1</f>
        <v>55.841999999999992</v>
      </c>
      <c r="W420" s="14" t="s">
        <v>467</v>
      </c>
      <c r="X420" s="7">
        <v>0.5</v>
      </c>
      <c r="Y420" s="14">
        <v>30.8</v>
      </c>
      <c r="Z420" s="18">
        <v>1</v>
      </c>
      <c r="AA420" s="14">
        <v>0.66</v>
      </c>
      <c r="AB420" s="28">
        <f t="shared" si="221"/>
        <v>46.666666666666664</v>
      </c>
      <c r="AC420" s="14">
        <v>700</v>
      </c>
      <c r="AD420" s="7">
        <f t="shared" si="202"/>
        <v>0.23333333333333331</v>
      </c>
      <c r="AE420" s="28">
        <f t="shared" si="200"/>
        <v>252832.5</v>
      </c>
      <c r="AF420" s="28">
        <f>2*AJ420</f>
        <v>505.66500000000002</v>
      </c>
      <c r="AG420" s="53">
        <v>6.61</v>
      </c>
      <c r="AH420" s="45">
        <f t="shared" si="203"/>
        <v>0.88454712921116285</v>
      </c>
      <c r="AI420" s="45">
        <f t="shared" si="204"/>
        <v>1.7293429909957487</v>
      </c>
      <c r="AJ420" s="28">
        <f>AG420*C420*E420/1000</f>
        <v>252.83250000000001</v>
      </c>
      <c r="AK420" s="21">
        <f t="shared" si="205"/>
        <v>1.125</v>
      </c>
      <c r="AL420" s="28">
        <f t="shared" si="198"/>
        <v>1.125</v>
      </c>
      <c r="AM420" s="28">
        <f t="shared" si="225"/>
        <v>253.95750000000001</v>
      </c>
      <c r="AN420" s="41">
        <f t="shared" si="206"/>
        <v>6.6394117647058826</v>
      </c>
      <c r="AO420" s="41">
        <f t="shared" si="207"/>
        <v>0.88848299790036445</v>
      </c>
      <c r="AP420" s="41">
        <f t="shared" si="208"/>
        <v>1.7370378516836358</v>
      </c>
      <c r="AQ420" s="21">
        <f t="shared" si="209"/>
        <v>0.39937500000000009</v>
      </c>
      <c r="AR420" s="21">
        <f t="shared" si="210"/>
        <v>126.41625000000001</v>
      </c>
      <c r="AS420" s="21">
        <f t="shared" si="211"/>
        <v>126.81562500000001</v>
      </c>
      <c r="AT420" s="41">
        <f t="shared" si="212"/>
        <v>1.958265365151997</v>
      </c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</row>
    <row r="421" spans="1:59" x14ac:dyDescent="0.25">
      <c r="A421" t="s">
        <v>46</v>
      </c>
      <c r="B421" s="4" t="s">
        <v>396</v>
      </c>
      <c r="C421">
        <f>6*25.4</f>
        <v>152.39999999999998</v>
      </c>
      <c r="D421">
        <f>12*25.4</f>
        <v>304.79999999999995</v>
      </c>
      <c r="E421">
        <f>11.5*25.4-0.5*25.4*6/8</f>
        <v>282.57499999999999</v>
      </c>
      <c r="F421">
        <f>75*25.4</f>
        <v>1905</v>
      </c>
      <c r="G421">
        <f>60*25.4</f>
        <v>1524</v>
      </c>
      <c r="H421">
        <f>4*25.4</f>
        <v>101.6</v>
      </c>
      <c r="I421">
        <f>C421</f>
        <v>152.39999999999998</v>
      </c>
      <c r="J421">
        <f>4*25.4</f>
        <v>101.6</v>
      </c>
      <c r="K421">
        <f>C421</f>
        <v>152.39999999999998</v>
      </c>
      <c r="L421">
        <f>2.5*E421</f>
        <v>706.4375</v>
      </c>
      <c r="M421">
        <f t="shared" si="199"/>
        <v>604.83750000000009</v>
      </c>
      <c r="N421" s="4">
        <v>3</v>
      </c>
      <c r="O421">
        <f>6/8*25.4</f>
        <v>19.049999999999997</v>
      </c>
      <c r="P421" s="21">
        <f t="shared" si="201"/>
        <v>855.06887097702725</v>
      </c>
      <c r="Q421" s="29">
        <f t="shared" si="213"/>
        <v>1.9855571546564702E-2</v>
      </c>
      <c r="R421" s="21">
        <f>44000/145</f>
        <v>303.44827586206895</v>
      </c>
      <c r="S421" s="41">
        <f t="shared" si="196"/>
        <v>2.5</v>
      </c>
      <c r="T421" s="41">
        <f t="shared" si="197"/>
        <v>2.1404494382022476</v>
      </c>
      <c r="U421">
        <f>3/8*25.4</f>
        <v>9.5249999999999986</v>
      </c>
      <c r="V421">
        <f>4795/145</f>
        <v>33.068965517241381</v>
      </c>
      <c r="W421" s="4" t="s">
        <v>456</v>
      </c>
      <c r="X421" s="7">
        <f t="shared" si="214"/>
        <v>1</v>
      </c>
      <c r="Y421">
        <f>2*25.4</f>
        <v>50.8</v>
      </c>
      <c r="Z421" s="8">
        <v>1</v>
      </c>
      <c r="AA421">
        <f>0.02*25.4</f>
        <v>0.50800000000000001</v>
      </c>
      <c r="AB421" s="21">
        <f>Y421/AA421</f>
        <v>100</v>
      </c>
      <c r="AC421" s="4">
        <v>1100</v>
      </c>
      <c r="AD421" s="7">
        <f t="shared" si="202"/>
        <v>1</v>
      </c>
      <c r="AE421" s="21">
        <f t="shared" si="200"/>
        <v>135725</v>
      </c>
      <c r="AF421" s="21">
        <f>61*4.45</f>
        <v>271.45</v>
      </c>
      <c r="AG421" s="41">
        <f t="shared" ref="AG421:AG453" si="226">AM421/(C421*E421)*1000</f>
        <v>3.1722212846193489</v>
      </c>
      <c r="AH421" s="45">
        <f t="shared" si="203"/>
        <v>0.55163672333802105</v>
      </c>
      <c r="AI421" s="45">
        <f t="shared" si="204"/>
        <v>0.98830260104449086</v>
      </c>
      <c r="AJ421" s="21">
        <f>AF421/2</f>
        <v>135.72499999999999</v>
      </c>
      <c r="AK421" s="21">
        <f t="shared" si="205"/>
        <v>1.1612879999999999</v>
      </c>
      <c r="AL421" s="21">
        <f t="shared" si="198"/>
        <v>0.88490145599999992</v>
      </c>
      <c r="AM421" s="21">
        <f t="shared" si="225"/>
        <v>136.60990145599999</v>
      </c>
      <c r="AN421" s="41">
        <f t="shared" si="206"/>
        <v>3.1722212846193485</v>
      </c>
      <c r="AO421" s="41">
        <f t="shared" si="207"/>
        <v>0.55163672333802094</v>
      </c>
      <c r="AP421" s="41">
        <f t="shared" si="208"/>
        <v>0.98830260104449064</v>
      </c>
      <c r="AQ421" s="21">
        <f t="shared" si="209"/>
        <v>0.31428317964810926</v>
      </c>
      <c r="AR421" s="21">
        <f t="shared" si="210"/>
        <v>95.881229687499996</v>
      </c>
      <c r="AS421" s="21">
        <f t="shared" si="211"/>
        <v>96.195512867148111</v>
      </c>
      <c r="AT421" s="41">
        <f t="shared" si="212"/>
        <v>2.4919475669401243</v>
      </c>
      <c r="AU421" s="4"/>
    </row>
    <row r="422" spans="1:59" x14ac:dyDescent="0.25">
      <c r="A422">
        <v>1991</v>
      </c>
      <c r="B422" s="4" t="s">
        <v>397</v>
      </c>
      <c r="C422">
        <f>6*25.4</f>
        <v>152.39999999999998</v>
      </c>
      <c r="D422">
        <f>12*25.4</f>
        <v>304.79999999999995</v>
      </c>
      <c r="E422">
        <f>11.5*25.4-0.5*25.4*6/8</f>
        <v>282.57499999999999</v>
      </c>
      <c r="F422">
        <f>75*25.4</f>
        <v>1905</v>
      </c>
      <c r="G422">
        <f>60*25.4</f>
        <v>1524</v>
      </c>
      <c r="H422">
        <f t="shared" ref="H422:J424" si="227">4*25.4</f>
        <v>101.6</v>
      </c>
      <c r="I422">
        <f>C422</f>
        <v>152.39999999999998</v>
      </c>
      <c r="J422">
        <f t="shared" si="227"/>
        <v>101.6</v>
      </c>
      <c r="K422">
        <f>C422</f>
        <v>152.39999999999998</v>
      </c>
      <c r="L422">
        <f>2.5*E422</f>
        <v>706.4375</v>
      </c>
      <c r="M422">
        <f t="shared" si="199"/>
        <v>604.83750000000009</v>
      </c>
      <c r="N422" s="4">
        <v>3</v>
      </c>
      <c r="O422">
        <f>6/8*25.4</f>
        <v>19.049999999999997</v>
      </c>
      <c r="P422" s="21">
        <f t="shared" si="201"/>
        <v>855.06887097702725</v>
      </c>
      <c r="Q422" s="29">
        <f t="shared" si="213"/>
        <v>1.9855571546564702E-2</v>
      </c>
      <c r="R422" s="21">
        <f>44000/145</f>
        <v>303.44827586206895</v>
      </c>
      <c r="S422" s="41">
        <f t="shared" si="196"/>
        <v>2.5</v>
      </c>
      <c r="T422" s="41">
        <f t="shared" si="197"/>
        <v>2.1404494382022476</v>
      </c>
      <c r="U422">
        <f>3/8*25.4</f>
        <v>9.5249999999999986</v>
      </c>
      <c r="V422">
        <f>4820/145</f>
        <v>33.241379310344826</v>
      </c>
      <c r="W422" s="4" t="s">
        <v>456</v>
      </c>
      <c r="X422" s="7">
        <f t="shared" si="214"/>
        <v>1</v>
      </c>
      <c r="Y422">
        <f>2*25.4</f>
        <v>50.8</v>
      </c>
      <c r="Z422" s="8">
        <v>1</v>
      </c>
      <c r="AA422">
        <f>0.02*25.4</f>
        <v>0.50800000000000001</v>
      </c>
      <c r="AB422" s="21">
        <f t="shared" ref="AB422:AB437" si="228">Y422/AA422</f>
        <v>100</v>
      </c>
      <c r="AC422" s="4">
        <v>1100</v>
      </c>
      <c r="AD422" s="7">
        <f t="shared" si="202"/>
        <v>1</v>
      </c>
      <c r="AE422" s="21">
        <f t="shared" si="200"/>
        <v>144625</v>
      </c>
      <c r="AF422" s="21">
        <f>65*4.45</f>
        <v>289.25</v>
      </c>
      <c r="AG422" s="41">
        <f t="shared" si="226"/>
        <v>3.3788883646201753</v>
      </c>
      <c r="AH422" s="45">
        <f t="shared" si="203"/>
        <v>0.5860495344970722</v>
      </c>
      <c r="AI422" s="45">
        <f t="shared" si="204"/>
        <v>1.0508663798950673</v>
      </c>
      <c r="AJ422" s="21">
        <f>AF422/2</f>
        <v>144.625</v>
      </c>
      <c r="AK422" s="21">
        <f t="shared" si="205"/>
        <v>1.1612879999999999</v>
      </c>
      <c r="AL422" s="21">
        <f t="shared" si="198"/>
        <v>0.88490145599999992</v>
      </c>
      <c r="AM422" s="21">
        <f t="shared" si="225"/>
        <v>145.50990145599999</v>
      </c>
      <c r="AN422" s="41">
        <f t="shared" si="206"/>
        <v>3.3788883646201753</v>
      </c>
      <c r="AO422" s="41">
        <f t="shared" si="207"/>
        <v>0.5860495344970722</v>
      </c>
      <c r="AP422" s="41">
        <f t="shared" si="208"/>
        <v>1.0508663798950673</v>
      </c>
      <c r="AQ422" s="21">
        <f t="shared" si="209"/>
        <v>0.31428317964810926</v>
      </c>
      <c r="AR422" s="21">
        <f t="shared" si="210"/>
        <v>102.1685234375</v>
      </c>
      <c r="AS422" s="21">
        <f t="shared" si="211"/>
        <v>102.48280661714811</v>
      </c>
      <c r="AT422" s="41">
        <f t="shared" si="212"/>
        <v>2.4924400877480952</v>
      </c>
      <c r="AU422" s="4"/>
    </row>
    <row r="423" spans="1:59" x14ac:dyDescent="0.25">
      <c r="B423" s="4" t="s">
        <v>398</v>
      </c>
      <c r="C423">
        <f>6*25.4</f>
        <v>152.39999999999998</v>
      </c>
      <c r="D423">
        <f>12*25.4</f>
        <v>304.79999999999995</v>
      </c>
      <c r="E423">
        <f>11.5*25.4-0.5*25.4*6/8</f>
        <v>282.57499999999999</v>
      </c>
      <c r="F423">
        <f>75*25.4</f>
        <v>1905</v>
      </c>
      <c r="G423">
        <f>60*25.4</f>
        <v>1524</v>
      </c>
      <c r="H423">
        <f t="shared" si="227"/>
        <v>101.6</v>
      </c>
      <c r="I423">
        <f>C423</f>
        <v>152.39999999999998</v>
      </c>
      <c r="J423">
        <f t="shared" si="227"/>
        <v>101.6</v>
      </c>
      <c r="K423">
        <f>C423</f>
        <v>152.39999999999998</v>
      </c>
      <c r="L423">
        <f>2.5*E423</f>
        <v>706.4375</v>
      </c>
      <c r="M423">
        <f t="shared" si="199"/>
        <v>604.83750000000009</v>
      </c>
      <c r="N423" s="4">
        <v>3</v>
      </c>
      <c r="O423">
        <f>6/8*25.4</f>
        <v>19.049999999999997</v>
      </c>
      <c r="P423" s="21">
        <f t="shared" si="201"/>
        <v>855.06887097702725</v>
      </c>
      <c r="Q423" s="29">
        <f t="shared" si="213"/>
        <v>1.9855571546564702E-2</v>
      </c>
      <c r="R423" s="21">
        <f>44000/145</f>
        <v>303.44827586206895</v>
      </c>
      <c r="S423" s="41">
        <f t="shared" si="196"/>
        <v>2.5</v>
      </c>
      <c r="T423" s="41">
        <f t="shared" si="197"/>
        <v>2.1404494382022476</v>
      </c>
      <c r="U423">
        <f>3/8*25.4</f>
        <v>9.5249999999999986</v>
      </c>
      <c r="V423">
        <f>4790/145</f>
        <v>33.03448275862069</v>
      </c>
      <c r="W423" s="4" t="s">
        <v>456</v>
      </c>
      <c r="X423" s="7">
        <f t="shared" si="214"/>
        <v>1</v>
      </c>
      <c r="Y423">
        <f>2*25.4</f>
        <v>50.8</v>
      </c>
      <c r="Z423" s="8">
        <v>2</v>
      </c>
      <c r="AA423">
        <f>0.02*25.4</f>
        <v>0.50800000000000001</v>
      </c>
      <c r="AB423" s="21">
        <f t="shared" si="228"/>
        <v>100</v>
      </c>
      <c r="AC423" s="4">
        <v>1100</v>
      </c>
      <c r="AD423" s="7">
        <f t="shared" si="202"/>
        <v>2</v>
      </c>
      <c r="AE423" s="21">
        <f t="shared" si="200"/>
        <v>133500</v>
      </c>
      <c r="AF423" s="21">
        <f>60*4.45</f>
        <v>267</v>
      </c>
      <c r="AG423" s="41">
        <f t="shared" si="226"/>
        <v>3.1205545146191418</v>
      </c>
      <c r="AH423" s="45">
        <f t="shared" si="203"/>
        <v>0.54293522403458183</v>
      </c>
      <c r="AI423" s="45">
        <f t="shared" si="204"/>
        <v>0.97254402532797279</v>
      </c>
      <c r="AJ423" s="21">
        <f>AF423/2</f>
        <v>133.5</v>
      </c>
      <c r="AK423" s="21">
        <f t="shared" si="205"/>
        <v>1.1612879999999999</v>
      </c>
      <c r="AL423" s="21">
        <f t="shared" si="198"/>
        <v>0.88490145599999992</v>
      </c>
      <c r="AM423" s="21">
        <f t="shared" si="225"/>
        <v>134.38490145599999</v>
      </c>
      <c r="AN423" s="41">
        <f t="shared" si="206"/>
        <v>3.1205545146191418</v>
      </c>
      <c r="AO423" s="41">
        <f t="shared" si="207"/>
        <v>0.54293522403458183</v>
      </c>
      <c r="AP423" s="41">
        <f t="shared" si="208"/>
        <v>0.97254402532797279</v>
      </c>
      <c r="AQ423" s="21">
        <f t="shared" si="209"/>
        <v>0.31428317964810926</v>
      </c>
      <c r="AR423" s="21">
        <f t="shared" si="210"/>
        <v>94.309406249999995</v>
      </c>
      <c r="AS423" s="21">
        <f t="shared" si="211"/>
        <v>94.62368942964811</v>
      </c>
      <c r="AT423" s="41">
        <f t="shared" si="212"/>
        <v>2.4918142434538981</v>
      </c>
      <c r="AU423" s="4"/>
    </row>
    <row r="424" spans="1:59" x14ac:dyDescent="0.25">
      <c r="A424" s="1"/>
      <c r="B424" s="10" t="s">
        <v>399</v>
      </c>
      <c r="C424" s="1">
        <f>6*25.4</f>
        <v>152.39999999999998</v>
      </c>
      <c r="D424" s="1">
        <f>12*25.4</f>
        <v>304.79999999999995</v>
      </c>
      <c r="E424" s="1">
        <f>11.5*25.4-0.5*25.4*6/8</f>
        <v>282.57499999999999</v>
      </c>
      <c r="F424" s="1">
        <f>75*25.4</f>
        <v>1905</v>
      </c>
      <c r="G424" s="1">
        <f>60*25.4</f>
        <v>1524</v>
      </c>
      <c r="H424" s="1">
        <f t="shared" si="227"/>
        <v>101.6</v>
      </c>
      <c r="I424" s="1">
        <f>C424</f>
        <v>152.39999999999998</v>
      </c>
      <c r="J424" s="1">
        <f t="shared" si="227"/>
        <v>101.6</v>
      </c>
      <c r="K424" s="1">
        <f>C424</f>
        <v>152.39999999999998</v>
      </c>
      <c r="L424" s="1">
        <f>2.5*E424</f>
        <v>706.4375</v>
      </c>
      <c r="M424" s="1">
        <f t="shared" si="199"/>
        <v>604.83750000000009</v>
      </c>
      <c r="N424" s="10">
        <v>3</v>
      </c>
      <c r="O424" s="1">
        <f>6/8*25.4</f>
        <v>19.049999999999997</v>
      </c>
      <c r="P424" s="27">
        <f t="shared" si="201"/>
        <v>855.06887097702725</v>
      </c>
      <c r="Q424" s="36">
        <f t="shared" si="213"/>
        <v>1.9855571546564702E-2</v>
      </c>
      <c r="R424" s="27">
        <f>44000/145</f>
        <v>303.44827586206895</v>
      </c>
      <c r="S424" s="48">
        <f t="shared" si="196"/>
        <v>2.5</v>
      </c>
      <c r="T424" s="48">
        <f t="shared" si="197"/>
        <v>2.1404494382022476</v>
      </c>
      <c r="U424" s="1">
        <f>3/8*25.4</f>
        <v>9.5249999999999986</v>
      </c>
      <c r="V424" s="1">
        <f>4985/145</f>
        <v>34.379310344827587</v>
      </c>
      <c r="W424" s="10" t="s">
        <v>456</v>
      </c>
      <c r="X424" s="7">
        <f t="shared" si="214"/>
        <v>1</v>
      </c>
      <c r="Y424" s="1">
        <f>2*25.4</f>
        <v>50.8</v>
      </c>
      <c r="Z424" s="9">
        <v>2</v>
      </c>
      <c r="AA424" s="1">
        <f>0.02*25.4</f>
        <v>0.50800000000000001</v>
      </c>
      <c r="AB424" s="27">
        <f t="shared" si="228"/>
        <v>100</v>
      </c>
      <c r="AC424" s="10">
        <v>1100</v>
      </c>
      <c r="AD424" s="7">
        <f t="shared" si="202"/>
        <v>2</v>
      </c>
      <c r="AE424" s="27">
        <f t="shared" si="200"/>
        <v>137950.00000000003</v>
      </c>
      <c r="AF424" s="27">
        <f>62*4.45</f>
        <v>275.90000000000003</v>
      </c>
      <c r="AG424" s="48">
        <f t="shared" si="226"/>
        <v>3.2238880546195556</v>
      </c>
      <c r="AH424" s="45">
        <f t="shared" si="203"/>
        <v>0.54983372290299304</v>
      </c>
      <c r="AI424" s="45">
        <f t="shared" si="204"/>
        <v>0.99147301757989204</v>
      </c>
      <c r="AJ424" s="27">
        <f>AF424/2</f>
        <v>137.95000000000002</v>
      </c>
      <c r="AK424" s="21">
        <f t="shared" si="205"/>
        <v>1.1612879999999999</v>
      </c>
      <c r="AL424" s="27">
        <f t="shared" si="198"/>
        <v>0.88490145599999992</v>
      </c>
      <c r="AM424" s="27">
        <f t="shared" si="225"/>
        <v>138.83490145600001</v>
      </c>
      <c r="AN424" s="41">
        <f t="shared" si="206"/>
        <v>3.2238880546195561</v>
      </c>
      <c r="AO424" s="41">
        <f t="shared" si="207"/>
        <v>0.54983372290299315</v>
      </c>
      <c r="AP424" s="41">
        <f t="shared" si="208"/>
        <v>0.99147301757989226</v>
      </c>
      <c r="AQ424" s="21">
        <f t="shared" si="209"/>
        <v>0.31428317964810926</v>
      </c>
      <c r="AR424" s="21">
        <f t="shared" si="210"/>
        <v>97.453053125000011</v>
      </c>
      <c r="AS424" s="21">
        <f t="shared" si="211"/>
        <v>97.767336304648126</v>
      </c>
      <c r="AT424" s="41">
        <f t="shared" si="212"/>
        <v>2.4920766170807611</v>
      </c>
      <c r="AU424" s="10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</row>
    <row r="425" spans="1:59" x14ac:dyDescent="0.25">
      <c r="A425" t="s">
        <v>47</v>
      </c>
      <c r="B425" s="4" t="s">
        <v>400</v>
      </c>
      <c r="C425">
        <v>50</v>
      </c>
      <c r="D425">
        <v>200</v>
      </c>
      <c r="E425">
        <v>170</v>
      </c>
      <c r="F425">
        <v>1000</v>
      </c>
      <c r="G425" s="4">
        <f>2*410</f>
        <v>820</v>
      </c>
      <c r="H425" s="4">
        <v>50</v>
      </c>
      <c r="I425" s="4">
        <v>50</v>
      </c>
      <c r="J425" s="4">
        <v>50</v>
      </c>
      <c r="K425" s="4">
        <v>50</v>
      </c>
      <c r="L425" s="4">
        <v>410</v>
      </c>
      <c r="M425">
        <f t="shared" si="199"/>
        <v>360</v>
      </c>
      <c r="N425" s="4">
        <v>1</v>
      </c>
      <c r="O425">
        <v>16</v>
      </c>
      <c r="P425" s="21">
        <f t="shared" si="201"/>
        <v>201.06192982974676</v>
      </c>
      <c r="Q425" s="29">
        <f t="shared" si="213"/>
        <v>2.365434468585256E-2</v>
      </c>
      <c r="R425" s="21">
        <v>376</v>
      </c>
      <c r="S425" s="41">
        <f t="shared" ref="S425:S453" si="229">L425/E425</f>
        <v>2.4117647058823528</v>
      </c>
      <c r="T425" s="41">
        <f t="shared" ref="T425:T453" si="230">M425/E425</f>
        <v>2.1176470588235294</v>
      </c>
      <c r="U425">
        <v>10</v>
      </c>
      <c r="V425">
        <f>0.82*39.1</f>
        <v>32.061999999999998</v>
      </c>
      <c r="W425" s="4" t="s">
        <v>465</v>
      </c>
      <c r="X425" s="7">
        <v>0.5</v>
      </c>
      <c r="Y425">
        <v>38</v>
      </c>
      <c r="Z425" s="8">
        <v>3</v>
      </c>
      <c r="AA425">
        <v>0.38</v>
      </c>
      <c r="AB425" s="21">
        <f t="shared" si="228"/>
        <v>100</v>
      </c>
      <c r="AC425" s="4">
        <v>1100</v>
      </c>
      <c r="AD425" s="7">
        <f t="shared" si="202"/>
        <v>1.5</v>
      </c>
      <c r="AE425" s="21">
        <f t="shared" si="200"/>
        <v>32800</v>
      </c>
      <c r="AF425" s="21">
        <v>65.599999999999994</v>
      </c>
      <c r="AG425" s="41">
        <f t="shared" si="226"/>
        <v>3.8708823529411758</v>
      </c>
      <c r="AH425" s="45">
        <f t="shared" si="203"/>
        <v>0.68361985397170089</v>
      </c>
      <c r="AI425" s="45">
        <f t="shared" si="204"/>
        <v>1.2184651218194298</v>
      </c>
      <c r="AJ425" s="21">
        <f>AF425/2</f>
        <v>32.799999999999997</v>
      </c>
      <c r="AK425" s="21">
        <f t="shared" si="205"/>
        <v>0.25</v>
      </c>
      <c r="AL425" s="21">
        <f t="shared" si="198"/>
        <v>0.10249999999999998</v>
      </c>
      <c r="AM425" s="21">
        <f t="shared" si="225"/>
        <v>32.902499999999996</v>
      </c>
      <c r="AN425" s="41">
        <f t="shared" si="206"/>
        <v>3.8708823529411758</v>
      </c>
      <c r="AO425" s="41">
        <f t="shared" si="207"/>
        <v>0.68361985397170089</v>
      </c>
      <c r="AP425" s="41">
        <f t="shared" si="208"/>
        <v>1.2184651218194298</v>
      </c>
      <c r="AQ425" s="21">
        <f t="shared" si="209"/>
        <v>1.9999999999999997E-2</v>
      </c>
      <c r="AR425" s="21">
        <f t="shared" si="210"/>
        <v>13.447999999999999</v>
      </c>
      <c r="AS425" s="21">
        <f t="shared" si="211"/>
        <v>13.467999999999998</v>
      </c>
      <c r="AT425" s="41">
        <f t="shared" si="212"/>
        <v>2.4078270469345706</v>
      </c>
      <c r="AU425" s="4"/>
      <c r="AZ425" s="4"/>
    </row>
    <row r="426" spans="1:59" x14ac:dyDescent="0.25">
      <c r="A426">
        <v>1982</v>
      </c>
      <c r="B426" s="4" t="s">
        <v>401</v>
      </c>
      <c r="C426">
        <v>50</v>
      </c>
      <c r="D426">
        <v>200</v>
      </c>
      <c r="E426">
        <v>170</v>
      </c>
      <c r="F426">
        <v>1000</v>
      </c>
      <c r="G426">
        <v>820</v>
      </c>
      <c r="H426" s="4">
        <v>50</v>
      </c>
      <c r="I426" s="4">
        <v>50</v>
      </c>
      <c r="J426" s="4">
        <v>50</v>
      </c>
      <c r="K426" s="4">
        <v>50</v>
      </c>
      <c r="L426" s="4">
        <v>410</v>
      </c>
      <c r="M426">
        <f t="shared" si="199"/>
        <v>360</v>
      </c>
      <c r="N426" s="4">
        <v>1</v>
      </c>
      <c r="O426">
        <v>16</v>
      </c>
      <c r="P426" s="21">
        <f t="shared" si="201"/>
        <v>201.06192982974676</v>
      </c>
      <c r="Q426" s="29">
        <f t="shared" si="213"/>
        <v>2.365434468585256E-2</v>
      </c>
      <c r="R426" s="21">
        <v>376</v>
      </c>
      <c r="S426" s="41">
        <f t="shared" si="229"/>
        <v>2.4117647058823528</v>
      </c>
      <c r="T426" s="41">
        <f t="shared" si="230"/>
        <v>2.1176470588235294</v>
      </c>
      <c r="U426">
        <v>10</v>
      </c>
      <c r="V426">
        <f>0.82*47.9</f>
        <v>39.277999999999999</v>
      </c>
      <c r="W426" s="4" t="s">
        <v>465</v>
      </c>
      <c r="X426" s="7">
        <v>0.5</v>
      </c>
      <c r="Y426">
        <v>38</v>
      </c>
      <c r="Z426" s="8">
        <v>4.5</v>
      </c>
      <c r="AA426">
        <v>0.38</v>
      </c>
      <c r="AB426" s="21">
        <f t="shared" si="228"/>
        <v>100</v>
      </c>
      <c r="AC426" s="4">
        <v>1100</v>
      </c>
      <c r="AD426" s="7">
        <f t="shared" si="202"/>
        <v>2.25</v>
      </c>
      <c r="AE426" s="21">
        <f t="shared" si="200"/>
        <v>36200</v>
      </c>
      <c r="AF426" s="21">
        <v>72.400000000000006</v>
      </c>
      <c r="AG426" s="41">
        <f t="shared" si="226"/>
        <v>4.2708823529411761</v>
      </c>
      <c r="AH426" s="45">
        <f t="shared" si="203"/>
        <v>0.68146401156600733</v>
      </c>
      <c r="AI426" s="45">
        <f t="shared" si="204"/>
        <v>1.2564189743125582</v>
      </c>
      <c r="AJ426" s="21">
        <f t="shared" ref="AJ426:AJ453" si="231">AF426/2</f>
        <v>36.200000000000003</v>
      </c>
      <c r="AK426" s="21">
        <f t="shared" si="205"/>
        <v>0.25</v>
      </c>
      <c r="AL426" s="21">
        <f t="shared" si="198"/>
        <v>0.10249999999999998</v>
      </c>
      <c r="AM426" s="21">
        <f t="shared" si="225"/>
        <v>36.302500000000002</v>
      </c>
      <c r="AN426" s="41">
        <f t="shared" si="206"/>
        <v>4.2708823529411761</v>
      </c>
      <c r="AO426" s="41">
        <f t="shared" si="207"/>
        <v>0.68146401156600733</v>
      </c>
      <c r="AP426" s="41">
        <f t="shared" si="208"/>
        <v>1.2564189743125582</v>
      </c>
      <c r="AQ426" s="21">
        <f t="shared" si="209"/>
        <v>1.9999999999999997E-2</v>
      </c>
      <c r="AR426" s="21">
        <f t="shared" si="210"/>
        <v>14.842000000000002</v>
      </c>
      <c r="AS426" s="21">
        <f t="shared" si="211"/>
        <v>14.862000000000002</v>
      </c>
      <c r="AT426" s="41">
        <f t="shared" si="212"/>
        <v>2.4081958380762956</v>
      </c>
      <c r="AU426" s="4"/>
      <c r="AZ426" s="4"/>
    </row>
    <row r="427" spans="1:59" x14ac:dyDescent="0.25">
      <c r="B427" s="4" t="s">
        <v>402</v>
      </c>
      <c r="C427">
        <v>50</v>
      </c>
      <c r="D427">
        <v>200</v>
      </c>
      <c r="E427">
        <v>170</v>
      </c>
      <c r="F427">
        <v>725</v>
      </c>
      <c r="G427">
        <f>276*2</f>
        <v>552</v>
      </c>
      <c r="H427" s="4">
        <v>50</v>
      </c>
      <c r="I427" s="4">
        <v>50</v>
      </c>
      <c r="J427" s="4">
        <v>50</v>
      </c>
      <c r="K427" s="4">
        <v>50</v>
      </c>
      <c r="L427" s="4">
        <v>276</v>
      </c>
      <c r="M427">
        <f t="shared" si="199"/>
        <v>226</v>
      </c>
      <c r="N427" s="4">
        <v>1</v>
      </c>
      <c r="O427">
        <v>16</v>
      </c>
      <c r="P427" s="21">
        <f t="shared" si="201"/>
        <v>201.06192982974676</v>
      </c>
      <c r="Q427" s="29">
        <f t="shared" si="213"/>
        <v>2.365434468585256E-2</v>
      </c>
      <c r="R427" s="21">
        <v>376</v>
      </c>
      <c r="S427" s="41">
        <f t="shared" si="229"/>
        <v>1.6235294117647059</v>
      </c>
      <c r="T427" s="41">
        <f t="shared" si="230"/>
        <v>1.3294117647058823</v>
      </c>
      <c r="U427">
        <v>10</v>
      </c>
      <c r="V427">
        <f>0.82*39.1</f>
        <v>32.061999999999998</v>
      </c>
      <c r="W427" s="4" t="s">
        <v>465</v>
      </c>
      <c r="X427" s="7">
        <v>0.5</v>
      </c>
      <c r="Y427">
        <v>38</v>
      </c>
      <c r="Z427" s="8">
        <v>3</v>
      </c>
      <c r="AA427">
        <v>0.38</v>
      </c>
      <c r="AB427" s="21">
        <f t="shared" si="228"/>
        <v>100</v>
      </c>
      <c r="AC427" s="4">
        <v>1100</v>
      </c>
      <c r="AD427" s="7">
        <f t="shared" si="202"/>
        <v>1.5</v>
      </c>
      <c r="AE427" s="21">
        <f t="shared" si="200"/>
        <v>50900</v>
      </c>
      <c r="AF427" s="21">
        <v>101.8</v>
      </c>
      <c r="AG427" s="41">
        <f t="shared" si="226"/>
        <v>5.9963529411764709</v>
      </c>
      <c r="AH427" s="45">
        <f t="shared" si="203"/>
        <v>1.058990056593986</v>
      </c>
      <c r="AI427" s="45">
        <f t="shared" si="204"/>
        <v>1.8875145898948265</v>
      </c>
      <c r="AJ427" s="21">
        <f t="shared" si="231"/>
        <v>50.9</v>
      </c>
      <c r="AK427" s="21">
        <f t="shared" si="205"/>
        <v>0.25</v>
      </c>
      <c r="AL427" s="21">
        <f t="shared" si="198"/>
        <v>6.9000000000000006E-2</v>
      </c>
      <c r="AM427" s="21">
        <f t="shared" si="225"/>
        <v>50.969000000000001</v>
      </c>
      <c r="AN427" s="41">
        <f t="shared" si="206"/>
        <v>5.9963529411764709</v>
      </c>
      <c r="AO427" s="41">
        <f t="shared" si="207"/>
        <v>1.058990056593986</v>
      </c>
      <c r="AP427" s="41">
        <f t="shared" si="208"/>
        <v>1.8875145898948265</v>
      </c>
      <c r="AQ427" s="21">
        <f t="shared" si="209"/>
        <v>8.5867187499999963E-3</v>
      </c>
      <c r="AR427" s="21">
        <f t="shared" si="210"/>
        <v>14.048399999999999</v>
      </c>
      <c r="AS427" s="21">
        <f t="shared" si="211"/>
        <v>14.056986718749998</v>
      </c>
      <c r="AT427" s="41">
        <f t="shared" si="212"/>
        <v>1.622322532698653</v>
      </c>
      <c r="AU427" s="4"/>
    </row>
    <row r="428" spans="1:59" x14ac:dyDescent="0.25">
      <c r="B428" s="4" t="s">
        <v>403</v>
      </c>
      <c r="C428">
        <v>50</v>
      </c>
      <c r="D428">
        <v>200</v>
      </c>
      <c r="E428">
        <v>170</v>
      </c>
      <c r="F428">
        <v>725</v>
      </c>
      <c r="G428">
        <v>552</v>
      </c>
      <c r="H428" s="4">
        <v>50</v>
      </c>
      <c r="I428" s="4">
        <v>50</v>
      </c>
      <c r="J428" s="4">
        <v>50</v>
      </c>
      <c r="K428" s="4">
        <v>50</v>
      </c>
      <c r="L428" s="4">
        <v>276</v>
      </c>
      <c r="M428">
        <f t="shared" si="199"/>
        <v>226</v>
      </c>
      <c r="N428" s="4">
        <v>1</v>
      </c>
      <c r="O428">
        <v>16</v>
      </c>
      <c r="P428" s="21">
        <f t="shared" si="201"/>
        <v>201.06192982974676</v>
      </c>
      <c r="Q428" s="29">
        <f t="shared" si="213"/>
        <v>2.365434468585256E-2</v>
      </c>
      <c r="R428" s="21">
        <v>376</v>
      </c>
      <c r="S428" s="41">
        <f t="shared" si="229"/>
        <v>1.6235294117647059</v>
      </c>
      <c r="T428" s="41">
        <f t="shared" si="230"/>
        <v>1.3294117647058823</v>
      </c>
      <c r="U428">
        <v>10</v>
      </c>
      <c r="V428">
        <f>0.82*47.9</f>
        <v>39.277999999999999</v>
      </c>
      <c r="W428" s="4" t="s">
        <v>465</v>
      </c>
      <c r="X428" s="7">
        <v>0.5</v>
      </c>
      <c r="Y428">
        <v>38</v>
      </c>
      <c r="Z428" s="8">
        <v>4.5</v>
      </c>
      <c r="AA428">
        <v>0.38</v>
      </c>
      <c r="AB428" s="21">
        <f t="shared" si="228"/>
        <v>100</v>
      </c>
      <c r="AC428" s="4">
        <v>1100</v>
      </c>
      <c r="AD428" s="7">
        <f t="shared" si="202"/>
        <v>2.25</v>
      </c>
      <c r="AE428" s="21">
        <f t="shared" si="200"/>
        <v>54200</v>
      </c>
      <c r="AF428" s="21">
        <v>108.4</v>
      </c>
      <c r="AG428" s="41">
        <f t="shared" si="226"/>
        <v>6.3845882352941183</v>
      </c>
      <c r="AH428" s="45">
        <f t="shared" si="203"/>
        <v>1.0187279235225029</v>
      </c>
      <c r="AI428" s="45">
        <f t="shared" si="204"/>
        <v>1.8782343176631979</v>
      </c>
      <c r="AJ428" s="21">
        <f t="shared" si="231"/>
        <v>54.2</v>
      </c>
      <c r="AK428" s="21">
        <f t="shared" si="205"/>
        <v>0.25</v>
      </c>
      <c r="AL428" s="21">
        <f t="shared" si="198"/>
        <v>6.9000000000000006E-2</v>
      </c>
      <c r="AM428" s="21">
        <f t="shared" si="225"/>
        <v>54.269000000000005</v>
      </c>
      <c r="AN428" s="41">
        <f t="shared" si="206"/>
        <v>6.3845882352941183</v>
      </c>
      <c r="AO428" s="41">
        <f t="shared" si="207"/>
        <v>1.0187279235225029</v>
      </c>
      <c r="AP428" s="41">
        <f t="shared" si="208"/>
        <v>1.8782343176631979</v>
      </c>
      <c r="AQ428" s="21">
        <f t="shared" si="209"/>
        <v>8.5867187499999963E-3</v>
      </c>
      <c r="AR428" s="21">
        <f t="shared" si="210"/>
        <v>14.959200000000001</v>
      </c>
      <c r="AS428" s="21">
        <f t="shared" si="211"/>
        <v>14.96778671875</v>
      </c>
      <c r="AT428" s="41">
        <f t="shared" si="212"/>
        <v>1.6223959208377003</v>
      </c>
      <c r="AU428" s="4"/>
    </row>
    <row r="429" spans="1:59" x14ac:dyDescent="0.25">
      <c r="B429" s="4" t="s">
        <v>404</v>
      </c>
      <c r="C429">
        <v>50</v>
      </c>
      <c r="D429">
        <v>200</v>
      </c>
      <c r="E429">
        <v>170</v>
      </c>
      <c r="F429">
        <v>455</v>
      </c>
      <c r="G429">
        <f>137*2</f>
        <v>274</v>
      </c>
      <c r="H429" s="4">
        <v>50</v>
      </c>
      <c r="I429" s="4">
        <v>50</v>
      </c>
      <c r="J429" s="4">
        <v>50</v>
      </c>
      <c r="K429" s="4">
        <v>50</v>
      </c>
      <c r="L429" s="4">
        <v>137</v>
      </c>
      <c r="M429">
        <f t="shared" si="199"/>
        <v>87</v>
      </c>
      <c r="N429" s="4">
        <v>1</v>
      </c>
      <c r="O429">
        <v>16</v>
      </c>
      <c r="P429" s="21">
        <f t="shared" si="201"/>
        <v>201.06192982974676</v>
      </c>
      <c r="Q429" s="29">
        <f t="shared" si="213"/>
        <v>2.365434468585256E-2</v>
      </c>
      <c r="R429" s="21">
        <v>376</v>
      </c>
      <c r="S429" s="41">
        <f t="shared" si="229"/>
        <v>0.80588235294117649</v>
      </c>
      <c r="T429" s="41">
        <f t="shared" si="230"/>
        <v>0.5117647058823529</v>
      </c>
      <c r="U429">
        <v>10</v>
      </c>
      <c r="V429">
        <f>0.82*39.1</f>
        <v>32.061999999999998</v>
      </c>
      <c r="W429" s="4" t="s">
        <v>465</v>
      </c>
      <c r="X429" s="7">
        <v>0.5</v>
      </c>
      <c r="Y429">
        <v>38</v>
      </c>
      <c r="Z429" s="8">
        <v>3</v>
      </c>
      <c r="AA429">
        <v>0.38</v>
      </c>
      <c r="AB429" s="21">
        <f t="shared" si="228"/>
        <v>100</v>
      </c>
      <c r="AC429" s="4">
        <v>1100</v>
      </c>
      <c r="AD429" s="7">
        <f t="shared" si="202"/>
        <v>1.5</v>
      </c>
      <c r="AE429" s="21">
        <f t="shared" si="200"/>
        <v>81200</v>
      </c>
      <c r="AF429" s="21">
        <v>162.4</v>
      </c>
      <c r="AG429" s="41">
        <f t="shared" si="226"/>
        <v>9.5569705882352949</v>
      </c>
      <c r="AH429" s="45">
        <f t="shared" si="203"/>
        <v>1.6878153976901649</v>
      </c>
      <c r="AI429" s="45">
        <f t="shared" si="204"/>
        <v>3.0083154873386531</v>
      </c>
      <c r="AJ429" s="21">
        <f t="shared" si="231"/>
        <v>81.2</v>
      </c>
      <c r="AK429" s="21">
        <f t="shared" si="205"/>
        <v>0.25</v>
      </c>
      <c r="AL429" s="21">
        <f t="shared" si="198"/>
        <v>3.4250000000000003E-2</v>
      </c>
      <c r="AM429" s="21">
        <f t="shared" si="225"/>
        <v>81.234250000000003</v>
      </c>
      <c r="AN429" s="41">
        <f t="shared" si="206"/>
        <v>9.5569705882352949</v>
      </c>
      <c r="AO429" s="41">
        <f t="shared" si="207"/>
        <v>1.6878153976901649</v>
      </c>
      <c r="AP429" s="41">
        <f t="shared" si="208"/>
        <v>3.0083154873386531</v>
      </c>
      <c r="AQ429" s="21">
        <f t="shared" si="209"/>
        <v>1.3223437499999997E-3</v>
      </c>
      <c r="AR429" s="21">
        <f t="shared" si="210"/>
        <v>11.1244</v>
      </c>
      <c r="AS429" s="21">
        <f t="shared" si="211"/>
        <v>11.125722343749999</v>
      </c>
      <c r="AT429" s="41">
        <f t="shared" si="212"/>
        <v>0.80563833052524736</v>
      </c>
      <c r="AU429" s="4"/>
    </row>
    <row r="430" spans="1:59" x14ac:dyDescent="0.25">
      <c r="A430" s="1"/>
      <c r="B430" s="10" t="s">
        <v>405</v>
      </c>
      <c r="C430" s="1">
        <v>50</v>
      </c>
      <c r="D430" s="1">
        <v>200</v>
      </c>
      <c r="E430" s="1">
        <v>170</v>
      </c>
      <c r="F430" s="1">
        <v>455</v>
      </c>
      <c r="G430" s="1">
        <v>274</v>
      </c>
      <c r="H430" s="10">
        <v>50</v>
      </c>
      <c r="I430" s="10">
        <v>50</v>
      </c>
      <c r="J430" s="10">
        <v>50</v>
      </c>
      <c r="K430" s="10">
        <v>50</v>
      </c>
      <c r="L430" s="10">
        <v>137</v>
      </c>
      <c r="M430" s="1">
        <f t="shared" si="199"/>
        <v>87</v>
      </c>
      <c r="N430" s="10">
        <v>1</v>
      </c>
      <c r="O430" s="1">
        <v>16</v>
      </c>
      <c r="P430" s="27">
        <f t="shared" si="201"/>
        <v>201.06192982974676</v>
      </c>
      <c r="Q430" s="36">
        <f t="shared" si="213"/>
        <v>2.365434468585256E-2</v>
      </c>
      <c r="R430" s="27">
        <v>376</v>
      </c>
      <c r="S430" s="48">
        <f t="shared" si="229"/>
        <v>0.80588235294117649</v>
      </c>
      <c r="T430" s="48">
        <f t="shared" si="230"/>
        <v>0.5117647058823529</v>
      </c>
      <c r="U430" s="1">
        <v>10</v>
      </c>
      <c r="V430" s="1">
        <f>0.82*47.9</f>
        <v>39.277999999999999</v>
      </c>
      <c r="W430" s="10" t="s">
        <v>465</v>
      </c>
      <c r="X430" s="7">
        <v>0.5</v>
      </c>
      <c r="Y430" s="1">
        <v>38</v>
      </c>
      <c r="Z430" s="9">
        <v>4.5</v>
      </c>
      <c r="AA430" s="1">
        <v>0.38</v>
      </c>
      <c r="AB430" s="27">
        <f t="shared" si="228"/>
        <v>100</v>
      </c>
      <c r="AC430" s="10">
        <v>1100</v>
      </c>
      <c r="AD430" s="7">
        <f t="shared" si="202"/>
        <v>2.25</v>
      </c>
      <c r="AE430" s="27">
        <f t="shared" si="200"/>
        <v>107600</v>
      </c>
      <c r="AF430" s="27">
        <v>215.2</v>
      </c>
      <c r="AG430" s="48">
        <f t="shared" si="226"/>
        <v>12.662852941176471</v>
      </c>
      <c r="AH430" s="45">
        <f t="shared" si="203"/>
        <v>2.0204908143212874</v>
      </c>
      <c r="AI430" s="45">
        <f t="shared" si="204"/>
        <v>3.7251901104855447</v>
      </c>
      <c r="AJ430" s="27">
        <f t="shared" si="231"/>
        <v>107.6</v>
      </c>
      <c r="AK430" s="21">
        <f t="shared" si="205"/>
        <v>0.25</v>
      </c>
      <c r="AL430" s="27">
        <f t="shared" ref="AL430:AL453" si="232">25*C430/1000*D430/1000*F430/1000-25*C430/1000*D430/1000*F430/1000*(F430/2000-(F430-G430)/2000)*1/(G430/1000)-25*C430/1000*D430/1000*(F430-G430)/2000</f>
        <v>3.4250000000000003E-2</v>
      </c>
      <c r="AM430" s="27">
        <f t="shared" si="225"/>
        <v>107.63424999999999</v>
      </c>
      <c r="AN430" s="41">
        <f t="shared" si="206"/>
        <v>12.662852941176471</v>
      </c>
      <c r="AO430" s="41">
        <f t="shared" si="207"/>
        <v>2.0204908143212874</v>
      </c>
      <c r="AP430" s="41">
        <f t="shared" si="208"/>
        <v>3.7251901104855447</v>
      </c>
      <c r="AQ430" s="21">
        <f t="shared" si="209"/>
        <v>1.3223437499999997E-3</v>
      </c>
      <c r="AR430" s="21">
        <f t="shared" si="210"/>
        <v>14.741199999999999</v>
      </c>
      <c r="AS430" s="21">
        <f t="shared" si="211"/>
        <v>14.742522343749998</v>
      </c>
      <c r="AT430" s="41">
        <f t="shared" si="212"/>
        <v>0.80569818314446973</v>
      </c>
      <c r="AU430" s="10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</row>
    <row r="431" spans="1:59" x14ac:dyDescent="0.25">
      <c r="A431" t="s">
        <v>48</v>
      </c>
      <c r="B431" s="4" t="s">
        <v>406</v>
      </c>
      <c r="C431" s="4">
        <v>100</v>
      </c>
      <c r="D431" s="4">
        <v>200</v>
      </c>
      <c r="E431" s="4">
        <v>165.5</v>
      </c>
      <c r="F431" s="4">
        <v>1600</v>
      </c>
      <c r="G431" s="4">
        <v>1500</v>
      </c>
      <c r="H431" s="4">
        <v>10</v>
      </c>
      <c r="I431" s="4">
        <v>100</v>
      </c>
      <c r="J431" s="4">
        <v>10</v>
      </c>
      <c r="K431" s="4">
        <v>100</v>
      </c>
      <c r="L431" s="4">
        <v>500</v>
      </c>
      <c r="M431" s="4">
        <f t="shared" si="199"/>
        <v>490</v>
      </c>
      <c r="N431" s="4">
        <v>2</v>
      </c>
      <c r="O431" s="4">
        <v>19</v>
      </c>
      <c r="P431" s="21">
        <f t="shared" si="201"/>
        <v>567.05747397295761</v>
      </c>
      <c r="Q431" s="29">
        <f t="shared" si="213"/>
        <v>3.4263291478728558E-2</v>
      </c>
      <c r="R431" s="21">
        <v>540</v>
      </c>
      <c r="S431" s="41">
        <f t="shared" si="229"/>
        <v>3.0211480362537766</v>
      </c>
      <c r="T431" s="41">
        <f t="shared" si="230"/>
        <v>2.9607250755287011</v>
      </c>
      <c r="U431" s="4">
        <v>10</v>
      </c>
      <c r="V431">
        <v>39.4</v>
      </c>
      <c r="W431" s="4" t="s">
        <v>456</v>
      </c>
      <c r="X431" s="7">
        <f t="shared" si="214"/>
        <v>1</v>
      </c>
      <c r="Y431" s="4">
        <v>30</v>
      </c>
      <c r="Z431" s="8">
        <v>0.5</v>
      </c>
      <c r="AA431" s="4">
        <v>0.5</v>
      </c>
      <c r="AB431" s="21">
        <f t="shared" si="228"/>
        <v>60</v>
      </c>
      <c r="AC431" s="4">
        <v>1200</v>
      </c>
      <c r="AD431" s="7">
        <f t="shared" si="202"/>
        <v>0.3</v>
      </c>
      <c r="AE431" s="21">
        <f t="shared" si="200"/>
        <v>30500</v>
      </c>
      <c r="AF431" s="21">
        <v>61</v>
      </c>
      <c r="AG431" s="41">
        <f t="shared" si="226"/>
        <v>1.8655589123867069</v>
      </c>
      <c r="AH431" s="45">
        <f t="shared" si="203"/>
        <v>0.29720824774482635</v>
      </c>
      <c r="AI431" s="45">
        <f t="shared" si="204"/>
        <v>0.54824779569654458</v>
      </c>
      <c r="AJ431" s="21">
        <f t="shared" si="231"/>
        <v>30.5</v>
      </c>
      <c r="AK431" s="21">
        <f t="shared" si="205"/>
        <v>0.5</v>
      </c>
      <c r="AL431" s="21">
        <f t="shared" si="232"/>
        <v>0.37499999999999994</v>
      </c>
      <c r="AM431" s="21">
        <f t="shared" si="225"/>
        <v>30.875</v>
      </c>
      <c r="AN431" s="41">
        <f t="shared" si="206"/>
        <v>1.8655589123867069</v>
      </c>
      <c r="AO431" s="41">
        <f t="shared" si="207"/>
        <v>0.29720824774482635</v>
      </c>
      <c r="AP431" s="41">
        <f t="shared" si="208"/>
        <v>0.54824779569654458</v>
      </c>
      <c r="AQ431" s="21">
        <f t="shared" si="209"/>
        <v>0.124375</v>
      </c>
      <c r="AR431" s="21">
        <f t="shared" si="210"/>
        <v>15.25</v>
      </c>
      <c r="AS431" s="21">
        <f t="shared" si="211"/>
        <v>15.374375000000001</v>
      </c>
      <c r="AT431" s="41">
        <f t="shared" si="212"/>
        <v>3.0087943540002691</v>
      </c>
      <c r="AU431" s="4"/>
    </row>
    <row r="432" spans="1:59" x14ac:dyDescent="0.25">
      <c r="A432">
        <v>2013</v>
      </c>
      <c r="B432" s="4" t="s">
        <v>407</v>
      </c>
      <c r="C432" s="4">
        <v>100</v>
      </c>
      <c r="D432" s="4">
        <v>200</v>
      </c>
      <c r="E432" s="4">
        <v>165.5</v>
      </c>
      <c r="F432" s="4">
        <v>1600</v>
      </c>
      <c r="G432" s="4">
        <v>1500</v>
      </c>
      <c r="H432" s="4">
        <v>10</v>
      </c>
      <c r="I432" s="4">
        <v>100</v>
      </c>
      <c r="J432" s="4">
        <v>10</v>
      </c>
      <c r="K432" s="4">
        <v>100</v>
      </c>
      <c r="L432" s="4">
        <v>500</v>
      </c>
      <c r="M432" s="4">
        <f t="shared" si="199"/>
        <v>490</v>
      </c>
      <c r="N432" s="4">
        <v>2</v>
      </c>
      <c r="O432" s="4">
        <v>19</v>
      </c>
      <c r="P432" s="21">
        <f t="shared" si="201"/>
        <v>567.05747397295761</v>
      </c>
      <c r="Q432" s="29">
        <f t="shared" si="213"/>
        <v>3.4263291478728558E-2</v>
      </c>
      <c r="R432" s="21">
        <v>540</v>
      </c>
      <c r="S432" s="41">
        <f t="shared" si="229"/>
        <v>3.0211480362537766</v>
      </c>
      <c r="T432" s="41">
        <f t="shared" si="230"/>
        <v>2.9607250755287011</v>
      </c>
      <c r="U432" s="4">
        <v>10</v>
      </c>
      <c r="V432">
        <v>39.200000000000003</v>
      </c>
      <c r="W432" s="4" t="s">
        <v>456</v>
      </c>
      <c r="X432" s="7">
        <f t="shared" si="214"/>
        <v>1</v>
      </c>
      <c r="Y432" s="4">
        <v>30</v>
      </c>
      <c r="Z432" s="8">
        <v>1</v>
      </c>
      <c r="AA432" s="4">
        <v>0.5</v>
      </c>
      <c r="AB432" s="21">
        <f t="shared" si="228"/>
        <v>60</v>
      </c>
      <c r="AC432" s="4">
        <v>1200</v>
      </c>
      <c r="AD432" s="7">
        <f t="shared" si="202"/>
        <v>0.6</v>
      </c>
      <c r="AE432" s="21">
        <f t="shared" si="200"/>
        <v>52000</v>
      </c>
      <c r="AF432" s="21">
        <v>104</v>
      </c>
      <c r="AG432" s="41">
        <f t="shared" si="226"/>
        <v>3.1646525679758311</v>
      </c>
      <c r="AH432" s="45">
        <f t="shared" si="203"/>
        <v>0.50545559051165945</v>
      </c>
      <c r="AI432" s="45">
        <f t="shared" si="204"/>
        <v>0.93160257910001387</v>
      </c>
      <c r="AJ432" s="21">
        <f t="shared" si="231"/>
        <v>52</v>
      </c>
      <c r="AK432" s="21">
        <f t="shared" si="205"/>
        <v>0.5</v>
      </c>
      <c r="AL432" s="21">
        <f t="shared" si="232"/>
        <v>0.37499999999999994</v>
      </c>
      <c r="AM432" s="21">
        <f t="shared" si="225"/>
        <v>52.375</v>
      </c>
      <c r="AN432" s="41">
        <f t="shared" si="206"/>
        <v>3.1646525679758306</v>
      </c>
      <c r="AO432" s="41">
        <f t="shared" si="207"/>
        <v>0.50545559051165934</v>
      </c>
      <c r="AP432" s="41">
        <f t="shared" si="208"/>
        <v>0.93160257910001376</v>
      </c>
      <c r="AQ432" s="21">
        <f t="shared" si="209"/>
        <v>0.124375</v>
      </c>
      <c r="AR432" s="21">
        <f t="shared" si="210"/>
        <v>26</v>
      </c>
      <c r="AS432" s="21">
        <f t="shared" si="211"/>
        <v>26.124375000000001</v>
      </c>
      <c r="AT432" s="41">
        <f t="shared" si="212"/>
        <v>3.0138655553071985</v>
      </c>
      <c r="AU432" s="4"/>
    </row>
    <row r="433" spans="1:59" x14ac:dyDescent="0.25">
      <c r="B433" s="4" t="s">
        <v>408</v>
      </c>
      <c r="C433" s="4">
        <v>100</v>
      </c>
      <c r="D433" s="4">
        <v>200</v>
      </c>
      <c r="E433" s="4">
        <v>165.5</v>
      </c>
      <c r="F433" s="4">
        <v>1600</v>
      </c>
      <c r="G433" s="4">
        <v>1500</v>
      </c>
      <c r="H433" s="4">
        <v>10</v>
      </c>
      <c r="I433" s="4">
        <v>100</v>
      </c>
      <c r="J433" s="4">
        <v>10</v>
      </c>
      <c r="K433" s="4">
        <v>100</v>
      </c>
      <c r="L433" s="4">
        <v>500</v>
      </c>
      <c r="M433" s="4">
        <f t="shared" si="199"/>
        <v>490</v>
      </c>
      <c r="N433" s="4">
        <v>2</v>
      </c>
      <c r="O433" s="4">
        <v>19</v>
      </c>
      <c r="P433" s="21">
        <f t="shared" si="201"/>
        <v>567.05747397295761</v>
      </c>
      <c r="Q433" s="29">
        <f t="shared" si="213"/>
        <v>3.4263291478728558E-2</v>
      </c>
      <c r="R433" s="21">
        <v>540</v>
      </c>
      <c r="S433" s="41">
        <f t="shared" si="229"/>
        <v>3.0211480362537766</v>
      </c>
      <c r="T433" s="41">
        <f t="shared" si="230"/>
        <v>2.9607250755287011</v>
      </c>
      <c r="U433" s="4">
        <v>10</v>
      </c>
      <c r="V433">
        <v>40</v>
      </c>
      <c r="W433" s="4" t="s">
        <v>456</v>
      </c>
      <c r="X433" s="7">
        <f t="shared" si="214"/>
        <v>1</v>
      </c>
      <c r="Y433" s="4">
        <v>30</v>
      </c>
      <c r="Z433" s="8">
        <v>1.5</v>
      </c>
      <c r="AA433" s="4">
        <v>0.5</v>
      </c>
      <c r="AB433" s="21">
        <f t="shared" si="228"/>
        <v>60</v>
      </c>
      <c r="AC433" s="4">
        <v>1200</v>
      </c>
      <c r="AD433" s="7">
        <f t="shared" si="202"/>
        <v>0.9</v>
      </c>
      <c r="AE433" s="21">
        <f t="shared" si="200"/>
        <v>54000</v>
      </c>
      <c r="AF433" s="21">
        <v>108</v>
      </c>
      <c r="AG433" s="41">
        <f t="shared" si="226"/>
        <v>3.285498489425982</v>
      </c>
      <c r="AH433" s="45">
        <f t="shared" si="203"/>
        <v>0.5194829237814369</v>
      </c>
      <c r="AI433" s="45">
        <f t="shared" si="204"/>
        <v>0.96068558619531474</v>
      </c>
      <c r="AJ433" s="21">
        <f t="shared" si="231"/>
        <v>54</v>
      </c>
      <c r="AK433" s="21">
        <f t="shared" si="205"/>
        <v>0.5</v>
      </c>
      <c r="AL433" s="21">
        <f t="shared" si="232"/>
        <v>0.37499999999999994</v>
      </c>
      <c r="AM433" s="21">
        <f t="shared" si="225"/>
        <v>54.375</v>
      </c>
      <c r="AN433" s="41">
        <f t="shared" si="206"/>
        <v>3.285498489425982</v>
      </c>
      <c r="AO433" s="41">
        <f t="shared" si="207"/>
        <v>0.5194829237814369</v>
      </c>
      <c r="AP433" s="41">
        <f t="shared" si="208"/>
        <v>0.96068558619531474</v>
      </c>
      <c r="AQ433" s="21">
        <f t="shared" si="209"/>
        <v>0.124375</v>
      </c>
      <c r="AR433" s="21">
        <f t="shared" si="210"/>
        <v>27</v>
      </c>
      <c r="AS433" s="21">
        <f t="shared" si="211"/>
        <v>27.124375000000001</v>
      </c>
      <c r="AT433" s="41">
        <f t="shared" si="212"/>
        <v>3.0141334166753477</v>
      </c>
      <c r="AU433" s="4"/>
    </row>
    <row r="434" spans="1:59" x14ac:dyDescent="0.25">
      <c r="B434" s="4" t="s">
        <v>409</v>
      </c>
      <c r="C434" s="4">
        <v>100</v>
      </c>
      <c r="D434" s="4">
        <v>200</v>
      </c>
      <c r="E434" s="4">
        <v>165.5</v>
      </c>
      <c r="F434" s="4">
        <v>1600</v>
      </c>
      <c r="G434" s="4">
        <v>1500</v>
      </c>
      <c r="H434" s="4">
        <v>10</v>
      </c>
      <c r="I434" s="4">
        <v>100</v>
      </c>
      <c r="J434" s="4">
        <v>10</v>
      </c>
      <c r="K434" s="4">
        <v>100</v>
      </c>
      <c r="L434" s="4">
        <v>500</v>
      </c>
      <c r="M434" s="4">
        <f t="shared" si="199"/>
        <v>490</v>
      </c>
      <c r="N434" s="4">
        <v>2</v>
      </c>
      <c r="O434" s="4">
        <v>19</v>
      </c>
      <c r="P434" s="21">
        <f t="shared" si="201"/>
        <v>567.05747397295761</v>
      </c>
      <c r="Q434" s="29">
        <f t="shared" si="213"/>
        <v>3.4263291478728558E-2</v>
      </c>
      <c r="R434" s="21">
        <v>540</v>
      </c>
      <c r="S434" s="41">
        <f t="shared" si="229"/>
        <v>3.0211480362537766</v>
      </c>
      <c r="T434" s="41">
        <f t="shared" si="230"/>
        <v>2.9607250755287011</v>
      </c>
      <c r="U434" s="4">
        <v>10</v>
      </c>
      <c r="V434">
        <v>35.5</v>
      </c>
      <c r="W434" s="4" t="s">
        <v>456</v>
      </c>
      <c r="X434" s="7">
        <f t="shared" si="214"/>
        <v>1</v>
      </c>
      <c r="Y434" s="4">
        <v>30</v>
      </c>
      <c r="Z434" s="8">
        <v>2</v>
      </c>
      <c r="AA434" s="4">
        <v>0.5</v>
      </c>
      <c r="AB434" s="21">
        <f t="shared" si="228"/>
        <v>60</v>
      </c>
      <c r="AC434" s="4">
        <v>1200</v>
      </c>
      <c r="AD434" s="7">
        <f t="shared" si="202"/>
        <v>1.2</v>
      </c>
      <c r="AE434" s="21">
        <f t="shared" si="200"/>
        <v>47500</v>
      </c>
      <c r="AF434" s="21">
        <v>95</v>
      </c>
      <c r="AG434" s="41">
        <f t="shared" si="226"/>
        <v>2.8927492447129906</v>
      </c>
      <c r="AH434" s="45">
        <f t="shared" si="203"/>
        <v>0.48550824807799381</v>
      </c>
      <c r="AI434" s="45">
        <f t="shared" si="204"/>
        <v>0.88017292381182</v>
      </c>
      <c r="AJ434" s="21">
        <f t="shared" si="231"/>
        <v>47.5</v>
      </c>
      <c r="AK434" s="21">
        <f t="shared" si="205"/>
        <v>0.5</v>
      </c>
      <c r="AL434" s="21">
        <f t="shared" si="232"/>
        <v>0.37499999999999994</v>
      </c>
      <c r="AM434" s="21">
        <f t="shared" si="225"/>
        <v>47.875</v>
      </c>
      <c r="AN434" s="41">
        <f t="shared" si="206"/>
        <v>2.892749244712991</v>
      </c>
      <c r="AO434" s="41">
        <f t="shared" si="207"/>
        <v>0.48550824807799386</v>
      </c>
      <c r="AP434" s="41">
        <f t="shared" si="208"/>
        <v>0.88017292381182011</v>
      </c>
      <c r="AQ434" s="21">
        <f t="shared" si="209"/>
        <v>0.124375</v>
      </c>
      <c r="AR434" s="21">
        <f t="shared" si="210"/>
        <v>23.75</v>
      </c>
      <c r="AS434" s="21">
        <f t="shared" si="211"/>
        <v>23.874375000000001</v>
      </c>
      <c r="AT434" s="41">
        <f t="shared" si="212"/>
        <v>3.0131810401268408</v>
      </c>
      <c r="AU434" s="4"/>
    </row>
    <row r="435" spans="1:59" x14ac:dyDescent="0.25">
      <c r="B435" s="4" t="s">
        <v>410</v>
      </c>
      <c r="C435" s="4">
        <v>100</v>
      </c>
      <c r="D435" s="4">
        <v>200</v>
      </c>
      <c r="E435" s="4">
        <v>159</v>
      </c>
      <c r="F435" s="4">
        <v>1600</v>
      </c>
      <c r="G435" s="4">
        <v>1500</v>
      </c>
      <c r="H435" s="4">
        <v>10</v>
      </c>
      <c r="I435" s="4">
        <v>100</v>
      </c>
      <c r="J435" s="4">
        <v>10</v>
      </c>
      <c r="K435" s="4">
        <v>100</v>
      </c>
      <c r="L435" s="4">
        <v>500</v>
      </c>
      <c r="M435" s="4">
        <f t="shared" ref="M435:M453" si="233">L435-J435/2-H435/2</f>
        <v>490</v>
      </c>
      <c r="N435" s="4">
        <v>2</v>
      </c>
      <c r="O435" s="4">
        <v>22</v>
      </c>
      <c r="P435" s="21">
        <f t="shared" si="201"/>
        <v>760.26542216872997</v>
      </c>
      <c r="Q435" s="29">
        <f t="shared" si="213"/>
        <v>4.7815435356523897E-2</v>
      </c>
      <c r="R435" s="21">
        <v>519</v>
      </c>
      <c r="S435" s="41">
        <f t="shared" si="229"/>
        <v>3.1446540880503147</v>
      </c>
      <c r="T435" s="41">
        <f t="shared" si="230"/>
        <v>3.0817610062893084</v>
      </c>
      <c r="U435" s="4">
        <v>10</v>
      </c>
      <c r="V435">
        <v>58</v>
      </c>
      <c r="W435" s="4" t="s">
        <v>456</v>
      </c>
      <c r="X435" s="7">
        <f t="shared" si="214"/>
        <v>1</v>
      </c>
      <c r="Y435" s="4">
        <v>30</v>
      </c>
      <c r="Z435" s="8">
        <v>1</v>
      </c>
      <c r="AA435" s="4">
        <v>0.5</v>
      </c>
      <c r="AB435" s="21">
        <f t="shared" si="228"/>
        <v>60</v>
      </c>
      <c r="AC435" s="4">
        <v>1200</v>
      </c>
      <c r="AD435" s="7">
        <f t="shared" si="202"/>
        <v>0.6</v>
      </c>
      <c r="AE435" s="21">
        <f t="shared" si="200"/>
        <v>73750</v>
      </c>
      <c r="AF435" s="21">
        <v>147.5</v>
      </c>
      <c r="AG435" s="41">
        <f t="shared" si="226"/>
        <v>4.6619496855345908</v>
      </c>
      <c r="AH435" s="45">
        <f t="shared" si="203"/>
        <v>0.6121439833790524</v>
      </c>
      <c r="AI435" s="45">
        <f t="shared" si="204"/>
        <v>1.2043653462380797</v>
      </c>
      <c r="AJ435" s="21">
        <f t="shared" si="231"/>
        <v>73.75</v>
      </c>
      <c r="AK435" s="21">
        <f t="shared" si="205"/>
        <v>0.5</v>
      </c>
      <c r="AL435" s="21">
        <f t="shared" si="232"/>
        <v>0.37499999999999994</v>
      </c>
      <c r="AM435" s="21">
        <f t="shared" si="225"/>
        <v>74.125</v>
      </c>
      <c r="AN435" s="41">
        <f t="shared" si="206"/>
        <v>4.6619496855345908</v>
      </c>
      <c r="AO435" s="41">
        <f t="shared" si="207"/>
        <v>0.6121439833790524</v>
      </c>
      <c r="AP435" s="41">
        <f t="shared" si="208"/>
        <v>1.2043653462380797</v>
      </c>
      <c r="AQ435" s="21">
        <f t="shared" si="209"/>
        <v>0.124375</v>
      </c>
      <c r="AR435" s="21">
        <f t="shared" si="210"/>
        <v>36.875</v>
      </c>
      <c r="AS435" s="21">
        <f t="shared" si="211"/>
        <v>36.999375000000001</v>
      </c>
      <c r="AT435" s="41">
        <f t="shared" si="212"/>
        <v>3.1392981004804477</v>
      </c>
      <c r="AU435" s="4"/>
    </row>
    <row r="436" spans="1:59" x14ac:dyDescent="0.25">
      <c r="B436" s="4" t="s">
        <v>411</v>
      </c>
      <c r="C436" s="4">
        <v>100</v>
      </c>
      <c r="D436" s="4">
        <v>200</v>
      </c>
      <c r="E436" s="4">
        <v>159</v>
      </c>
      <c r="F436" s="4">
        <v>1600</v>
      </c>
      <c r="G436" s="4">
        <v>1500</v>
      </c>
      <c r="H436" s="4">
        <v>10</v>
      </c>
      <c r="I436" s="4">
        <v>100</v>
      </c>
      <c r="J436" s="4">
        <v>10</v>
      </c>
      <c r="K436" s="4">
        <v>100</v>
      </c>
      <c r="L436" s="4">
        <v>500</v>
      </c>
      <c r="M436" s="4">
        <f t="shared" si="233"/>
        <v>490</v>
      </c>
      <c r="N436" s="4">
        <v>2</v>
      </c>
      <c r="O436" s="4">
        <v>22</v>
      </c>
      <c r="P436" s="21">
        <f t="shared" si="201"/>
        <v>760.26542216872997</v>
      </c>
      <c r="Q436" s="29">
        <f t="shared" si="213"/>
        <v>4.7815435356523897E-2</v>
      </c>
      <c r="R436" s="21">
        <v>519</v>
      </c>
      <c r="S436" s="41">
        <f t="shared" si="229"/>
        <v>3.1446540880503147</v>
      </c>
      <c r="T436" s="41">
        <f t="shared" si="230"/>
        <v>3.0817610062893084</v>
      </c>
      <c r="U436" s="4">
        <v>10</v>
      </c>
      <c r="V436">
        <v>80.099999999999994</v>
      </c>
      <c r="W436" s="4" t="s">
        <v>456</v>
      </c>
      <c r="X436" s="7">
        <f t="shared" si="214"/>
        <v>1</v>
      </c>
      <c r="Y436" s="4">
        <v>30</v>
      </c>
      <c r="Z436" s="8">
        <v>0.5</v>
      </c>
      <c r="AA436" s="4">
        <v>0.5</v>
      </c>
      <c r="AB436" s="21">
        <f t="shared" si="228"/>
        <v>60</v>
      </c>
      <c r="AC436" s="4">
        <v>1200</v>
      </c>
      <c r="AD436" s="7">
        <f t="shared" si="202"/>
        <v>0.3</v>
      </c>
      <c r="AE436" s="21">
        <f t="shared" ref="AE436:AE453" si="234">AJ436*1000</f>
        <v>72700</v>
      </c>
      <c r="AF436" s="21">
        <v>145.4</v>
      </c>
      <c r="AG436" s="41">
        <f t="shared" si="226"/>
        <v>4.5959119496855347</v>
      </c>
      <c r="AH436" s="45">
        <f t="shared" si="203"/>
        <v>0.51351772855846844</v>
      </c>
      <c r="AI436" s="45">
        <f t="shared" si="204"/>
        <v>1.0661726256733453</v>
      </c>
      <c r="AJ436" s="21">
        <f t="shared" si="231"/>
        <v>72.7</v>
      </c>
      <c r="AK436" s="21">
        <f t="shared" si="205"/>
        <v>0.5</v>
      </c>
      <c r="AL436" s="21">
        <f t="shared" si="232"/>
        <v>0.37499999999999994</v>
      </c>
      <c r="AM436" s="21">
        <f t="shared" si="225"/>
        <v>73.075000000000003</v>
      </c>
      <c r="AN436" s="41">
        <f t="shared" si="206"/>
        <v>4.5959119496855347</v>
      </c>
      <c r="AO436" s="41">
        <f t="shared" si="207"/>
        <v>0.51351772855846844</v>
      </c>
      <c r="AP436" s="41">
        <f t="shared" si="208"/>
        <v>1.0661726256733453</v>
      </c>
      <c r="AQ436" s="21">
        <f t="shared" si="209"/>
        <v>0.124375</v>
      </c>
      <c r="AR436" s="21">
        <f t="shared" si="210"/>
        <v>36.35</v>
      </c>
      <c r="AS436" s="21">
        <f t="shared" si="211"/>
        <v>36.474375000000002</v>
      </c>
      <c r="AT436" s="41">
        <f t="shared" si="212"/>
        <v>3.1392211413706517</v>
      </c>
      <c r="AU436" s="4"/>
    </row>
    <row r="437" spans="1:59" x14ac:dyDescent="0.25">
      <c r="A437" s="1"/>
      <c r="B437" s="10" t="s">
        <v>412</v>
      </c>
      <c r="C437" s="10">
        <v>100</v>
      </c>
      <c r="D437" s="10">
        <v>200</v>
      </c>
      <c r="E437" s="10">
        <v>159</v>
      </c>
      <c r="F437" s="10">
        <v>1600</v>
      </c>
      <c r="G437" s="10">
        <v>1500</v>
      </c>
      <c r="H437" s="10">
        <v>10</v>
      </c>
      <c r="I437" s="10">
        <v>100</v>
      </c>
      <c r="J437" s="10">
        <v>10</v>
      </c>
      <c r="K437" s="10">
        <v>100</v>
      </c>
      <c r="L437" s="10">
        <v>500</v>
      </c>
      <c r="M437" s="10">
        <f t="shared" si="233"/>
        <v>490</v>
      </c>
      <c r="N437" s="10">
        <v>2</v>
      </c>
      <c r="O437" s="10">
        <v>22</v>
      </c>
      <c r="P437" s="27">
        <f t="shared" si="201"/>
        <v>760.26542216872997</v>
      </c>
      <c r="Q437" s="36">
        <f t="shared" si="213"/>
        <v>4.7815435356523897E-2</v>
      </c>
      <c r="R437" s="27">
        <v>519</v>
      </c>
      <c r="S437" s="48">
        <f t="shared" si="229"/>
        <v>3.1446540880503147</v>
      </c>
      <c r="T437" s="48">
        <f t="shared" si="230"/>
        <v>3.0817610062893084</v>
      </c>
      <c r="U437" s="10">
        <v>10</v>
      </c>
      <c r="V437" s="1">
        <v>88</v>
      </c>
      <c r="W437" s="10" t="s">
        <v>456</v>
      </c>
      <c r="X437" s="7">
        <f t="shared" si="214"/>
        <v>1</v>
      </c>
      <c r="Y437" s="10">
        <v>30</v>
      </c>
      <c r="Z437" s="9">
        <v>1</v>
      </c>
      <c r="AA437" s="10">
        <v>0.5</v>
      </c>
      <c r="AB437" s="27">
        <f t="shared" si="228"/>
        <v>60</v>
      </c>
      <c r="AC437" s="10">
        <v>1200</v>
      </c>
      <c r="AD437" s="7">
        <f t="shared" si="202"/>
        <v>0.6</v>
      </c>
      <c r="AE437" s="27">
        <f t="shared" si="234"/>
        <v>81150</v>
      </c>
      <c r="AF437" s="27">
        <v>162.30000000000001</v>
      </c>
      <c r="AG437" s="48">
        <f t="shared" si="226"/>
        <v>5.1273584905660377</v>
      </c>
      <c r="AH437" s="45">
        <f t="shared" si="203"/>
        <v>0.54657825160035034</v>
      </c>
      <c r="AI437" s="45">
        <f t="shared" si="204"/>
        <v>1.1527437930556041</v>
      </c>
      <c r="AJ437" s="27">
        <f t="shared" si="231"/>
        <v>81.150000000000006</v>
      </c>
      <c r="AK437" s="21">
        <f t="shared" si="205"/>
        <v>0.5</v>
      </c>
      <c r="AL437" s="27">
        <f t="shared" si="232"/>
        <v>0.37499999999999994</v>
      </c>
      <c r="AM437" s="27">
        <f t="shared" si="225"/>
        <v>81.525000000000006</v>
      </c>
      <c r="AN437" s="41">
        <f t="shared" si="206"/>
        <v>5.1273584905660377</v>
      </c>
      <c r="AO437" s="41">
        <f t="shared" si="207"/>
        <v>0.54657825160035034</v>
      </c>
      <c r="AP437" s="41">
        <f t="shared" si="208"/>
        <v>1.1527437930556041</v>
      </c>
      <c r="AQ437" s="21">
        <f t="shared" si="209"/>
        <v>0.124375</v>
      </c>
      <c r="AR437" s="21">
        <f t="shared" si="210"/>
        <v>40.575000000000003</v>
      </c>
      <c r="AS437" s="21">
        <f t="shared" si="211"/>
        <v>40.699375000000003</v>
      </c>
      <c r="AT437" s="41">
        <f t="shared" si="212"/>
        <v>3.1397842618790013</v>
      </c>
      <c r="AU437" s="10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</row>
    <row r="438" spans="1:59" x14ac:dyDescent="0.25">
      <c r="A438" t="s">
        <v>49</v>
      </c>
      <c r="B438" s="4" t="s">
        <v>164</v>
      </c>
      <c r="C438" s="4">
        <v>150</v>
      </c>
      <c r="D438" s="4">
        <v>250</v>
      </c>
      <c r="E438" s="4">
        <v>219</v>
      </c>
      <c r="F438" s="4">
        <v>2500</v>
      </c>
      <c r="G438" s="4">
        <v>2300</v>
      </c>
      <c r="H438" s="4">
        <v>10</v>
      </c>
      <c r="I438" s="4">
        <v>150</v>
      </c>
      <c r="J438" s="4">
        <v>10</v>
      </c>
      <c r="K438" s="4">
        <v>150</v>
      </c>
      <c r="L438">
        <f>2.8*E438</f>
        <v>613.19999999999993</v>
      </c>
      <c r="M438">
        <f t="shared" si="233"/>
        <v>603.19999999999993</v>
      </c>
      <c r="N438" s="4">
        <v>2</v>
      </c>
      <c r="O438" s="4">
        <v>20</v>
      </c>
      <c r="P438" s="21">
        <f t="shared" si="201"/>
        <v>628.31853071795865</v>
      </c>
      <c r="Q438" s="29">
        <f t="shared" si="213"/>
        <v>1.9126895912266625E-2</v>
      </c>
      <c r="R438" s="21">
        <v>599</v>
      </c>
      <c r="S438" s="41">
        <f t="shared" si="229"/>
        <v>2.8</v>
      </c>
      <c r="T438" s="41">
        <f t="shared" si="230"/>
        <v>2.7543378995433785</v>
      </c>
      <c r="U438" s="4">
        <v>10</v>
      </c>
      <c r="V438" s="4">
        <v>80.040000000000006</v>
      </c>
      <c r="W438" s="4" t="s">
        <v>456</v>
      </c>
      <c r="X438" s="7">
        <f t="shared" si="214"/>
        <v>1</v>
      </c>
      <c r="Y438" s="4">
        <v>30</v>
      </c>
      <c r="Z438" s="8">
        <v>1</v>
      </c>
      <c r="AA438" s="4">
        <v>0.55000000000000004</v>
      </c>
      <c r="AB438" s="21">
        <f>Y438/AA438</f>
        <v>54.54545454545454</v>
      </c>
      <c r="AC438" s="4">
        <v>1100</v>
      </c>
      <c r="AD438" s="7">
        <f t="shared" si="202"/>
        <v>0.54545454545454541</v>
      </c>
      <c r="AE438" s="21">
        <f t="shared" si="234"/>
        <v>113750</v>
      </c>
      <c r="AF438" s="21">
        <v>227.5</v>
      </c>
      <c r="AG438" s="41">
        <f t="shared" si="226"/>
        <v>3.4955289193302894</v>
      </c>
      <c r="AH438" s="45">
        <f t="shared" si="203"/>
        <v>0.39071434766680041</v>
      </c>
      <c r="AI438" s="45">
        <f t="shared" si="204"/>
        <v>0.811105238294763</v>
      </c>
      <c r="AJ438" s="21">
        <f t="shared" si="231"/>
        <v>113.75</v>
      </c>
      <c r="AK438" s="21">
        <f t="shared" si="205"/>
        <v>0.9375</v>
      </c>
      <c r="AL438" s="21">
        <f t="shared" si="232"/>
        <v>1.078125</v>
      </c>
      <c r="AM438" s="21">
        <f t="shared" si="225"/>
        <v>114.828125</v>
      </c>
      <c r="AN438" s="41">
        <f t="shared" si="206"/>
        <v>3.495528919330289</v>
      </c>
      <c r="AO438" s="41">
        <f t="shared" si="207"/>
        <v>0.39071434766680035</v>
      </c>
      <c r="AP438" s="41">
        <f t="shared" si="208"/>
        <v>0.81110523829476289</v>
      </c>
      <c r="AQ438" s="21">
        <f t="shared" si="209"/>
        <v>0.48016207499999997</v>
      </c>
      <c r="AR438" s="21">
        <f t="shared" si="210"/>
        <v>69.751499999999979</v>
      </c>
      <c r="AS438" s="21">
        <f t="shared" si="211"/>
        <v>70.231662074999974</v>
      </c>
      <c r="AT438" s="41">
        <f t="shared" si="212"/>
        <v>2.79280464511992</v>
      </c>
      <c r="AU438" s="4"/>
    </row>
    <row r="439" spans="1:59" x14ac:dyDescent="0.25">
      <c r="A439" s="1">
        <v>2012</v>
      </c>
      <c r="B439" s="10" t="s">
        <v>166</v>
      </c>
      <c r="C439" s="10">
        <v>150</v>
      </c>
      <c r="D439" s="10">
        <v>250</v>
      </c>
      <c r="E439" s="10">
        <v>219</v>
      </c>
      <c r="F439" s="10">
        <v>2500</v>
      </c>
      <c r="G439" s="10">
        <v>2300</v>
      </c>
      <c r="H439" s="10">
        <v>10</v>
      </c>
      <c r="I439" s="10">
        <v>150</v>
      </c>
      <c r="J439" s="10">
        <v>10</v>
      </c>
      <c r="K439" s="10">
        <v>150</v>
      </c>
      <c r="L439" s="1">
        <f>2*E439</f>
        <v>438</v>
      </c>
      <c r="M439" s="1">
        <f t="shared" si="233"/>
        <v>428</v>
      </c>
      <c r="N439" s="10">
        <v>2</v>
      </c>
      <c r="O439" s="10">
        <v>20</v>
      </c>
      <c r="P439" s="27">
        <f t="shared" si="201"/>
        <v>628.31853071795865</v>
      </c>
      <c r="Q439" s="36">
        <f t="shared" si="213"/>
        <v>1.9126895912266625E-2</v>
      </c>
      <c r="R439" s="27">
        <v>599</v>
      </c>
      <c r="S439" s="48">
        <f t="shared" si="229"/>
        <v>2</v>
      </c>
      <c r="T439" s="48">
        <f t="shared" si="230"/>
        <v>1.9543378995433789</v>
      </c>
      <c r="U439" s="10">
        <v>10</v>
      </c>
      <c r="V439" s="10">
        <v>80.040000000000006</v>
      </c>
      <c r="W439" s="10" t="s">
        <v>456</v>
      </c>
      <c r="X439" s="7">
        <f t="shared" si="214"/>
        <v>1</v>
      </c>
      <c r="Y439" s="10">
        <v>30</v>
      </c>
      <c r="Z439" s="9">
        <v>1</v>
      </c>
      <c r="AA439" s="10">
        <v>0.55000000000000004</v>
      </c>
      <c r="AB439" s="27">
        <f>Y439/AA439</f>
        <v>54.54545454545454</v>
      </c>
      <c r="AC439" s="10">
        <v>1100</v>
      </c>
      <c r="AD439" s="7">
        <f t="shared" si="202"/>
        <v>0.54545454545454541</v>
      </c>
      <c r="AE439" s="27">
        <f t="shared" si="234"/>
        <v>140800</v>
      </c>
      <c r="AF439" s="27">
        <v>281.60000000000002</v>
      </c>
      <c r="AG439" s="48">
        <f t="shared" si="226"/>
        <v>4.318968797564688</v>
      </c>
      <c r="AH439" s="45">
        <f t="shared" si="203"/>
        <v>0.48275471760567168</v>
      </c>
      <c r="AI439" s="45">
        <f t="shared" si="204"/>
        <v>1.0021768655278414</v>
      </c>
      <c r="AJ439" s="27">
        <f t="shared" si="231"/>
        <v>140.80000000000001</v>
      </c>
      <c r="AK439" s="21">
        <f t="shared" si="205"/>
        <v>0.9375</v>
      </c>
      <c r="AL439" s="27">
        <f t="shared" si="232"/>
        <v>1.078125</v>
      </c>
      <c r="AM439" s="27">
        <f t="shared" si="225"/>
        <v>141.87812500000001</v>
      </c>
      <c r="AN439" s="41">
        <f t="shared" si="206"/>
        <v>4.318968797564688</v>
      </c>
      <c r="AO439" s="41">
        <f t="shared" si="207"/>
        <v>0.48275471760567168</v>
      </c>
      <c r="AP439" s="41">
        <f t="shared" si="208"/>
        <v>1.0021768655278414</v>
      </c>
      <c r="AQ439" s="21">
        <f t="shared" si="209"/>
        <v>0.37760437499999999</v>
      </c>
      <c r="AR439" s="21">
        <f t="shared" si="210"/>
        <v>61.670400000000001</v>
      </c>
      <c r="AS439" s="21">
        <f t="shared" si="211"/>
        <v>62.048004374999998</v>
      </c>
      <c r="AT439" s="41">
        <f t="shared" si="212"/>
        <v>1.9969549279736458</v>
      </c>
      <c r="AU439" s="10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</row>
    <row r="440" spans="1:59" x14ac:dyDescent="0.25">
      <c r="A440" s="3" t="s">
        <v>50</v>
      </c>
      <c r="B440" s="14" t="s">
        <v>413</v>
      </c>
      <c r="C440" s="14">
        <v>100</v>
      </c>
      <c r="D440" s="14">
        <v>300</v>
      </c>
      <c r="E440" s="14">
        <v>275</v>
      </c>
      <c r="F440" s="14">
        <v>1600</v>
      </c>
      <c r="G440" s="14">
        <v>1450</v>
      </c>
      <c r="H440" s="14">
        <v>10</v>
      </c>
      <c r="I440" s="14">
        <v>100</v>
      </c>
      <c r="J440" s="14">
        <v>10</v>
      </c>
      <c r="K440" s="14">
        <v>100</v>
      </c>
      <c r="L440" s="14">
        <v>550</v>
      </c>
      <c r="M440" s="3">
        <f t="shared" si="233"/>
        <v>540</v>
      </c>
      <c r="N440" s="14">
        <v>3</v>
      </c>
      <c r="O440" s="14">
        <v>8</v>
      </c>
      <c r="P440" s="28">
        <f t="shared" si="201"/>
        <v>150.79644737231007</v>
      </c>
      <c r="Q440" s="37">
        <f t="shared" si="213"/>
        <v>5.4835071771749113E-3</v>
      </c>
      <c r="R440" s="28">
        <v>400</v>
      </c>
      <c r="S440" s="48">
        <f t="shared" si="229"/>
        <v>2</v>
      </c>
      <c r="T440" s="48">
        <f t="shared" si="230"/>
        <v>1.9636363636363636</v>
      </c>
      <c r="U440" s="14">
        <v>9.5</v>
      </c>
      <c r="V440" s="14">
        <v>28.4</v>
      </c>
      <c r="W440" s="14" t="s">
        <v>456</v>
      </c>
      <c r="X440" s="7">
        <f t="shared" si="214"/>
        <v>1</v>
      </c>
      <c r="Y440" s="14">
        <v>60</v>
      </c>
      <c r="Z440" s="18">
        <v>0.5</v>
      </c>
      <c r="AA440" s="14">
        <v>0.8</v>
      </c>
      <c r="AB440" s="28">
        <f>Y440/AA440</f>
        <v>75</v>
      </c>
      <c r="AC440" s="14">
        <v>1100</v>
      </c>
      <c r="AD440" s="7">
        <f t="shared" si="202"/>
        <v>0.375</v>
      </c>
      <c r="AE440" s="28">
        <f t="shared" si="234"/>
        <v>42500</v>
      </c>
      <c r="AF440" s="28">
        <v>85</v>
      </c>
      <c r="AG440" s="53">
        <f t="shared" si="226"/>
        <v>1.5652272727272729</v>
      </c>
      <c r="AH440" s="45">
        <f t="shared" si="203"/>
        <v>0.29370966401454551</v>
      </c>
      <c r="AI440" s="45">
        <f t="shared" si="204"/>
        <v>0.51302432758093386</v>
      </c>
      <c r="AJ440" s="28">
        <f t="shared" si="231"/>
        <v>42.5</v>
      </c>
      <c r="AK440" s="21">
        <f t="shared" si="205"/>
        <v>0.75</v>
      </c>
      <c r="AL440" s="28">
        <f t="shared" si="232"/>
        <v>0.54374999999999984</v>
      </c>
      <c r="AM440" s="28">
        <f t="shared" si="225"/>
        <v>43.043750000000003</v>
      </c>
      <c r="AN440" s="41">
        <f t="shared" si="206"/>
        <v>1.5652272727272727</v>
      </c>
      <c r="AO440" s="41">
        <f t="shared" si="207"/>
        <v>0.29370966401454546</v>
      </c>
      <c r="AP440" s="41">
        <f t="shared" si="208"/>
        <v>0.51302432758093375</v>
      </c>
      <c r="AQ440" s="21">
        <f t="shared" si="209"/>
        <v>0.18351562500000002</v>
      </c>
      <c r="AR440" s="21">
        <f t="shared" si="210"/>
        <v>23.375</v>
      </c>
      <c r="AS440" s="21">
        <f t="shared" si="211"/>
        <v>23.558515624999998</v>
      </c>
      <c r="AT440" s="41">
        <f t="shared" si="212"/>
        <v>1.9902385258127959</v>
      </c>
      <c r="AU440" s="14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</row>
    <row r="441" spans="1:59" x14ac:dyDescent="0.25">
      <c r="A441" s="3" t="s">
        <v>51</v>
      </c>
      <c r="B441" s="14" t="s">
        <v>414</v>
      </c>
      <c r="C441" s="14">
        <v>125</v>
      </c>
      <c r="D441" s="14">
        <v>250</v>
      </c>
      <c r="E441" s="14">
        <v>212</v>
      </c>
      <c r="F441" s="14">
        <v>2880</v>
      </c>
      <c r="G441" s="14">
        <v>2400</v>
      </c>
      <c r="H441" s="14">
        <v>150</v>
      </c>
      <c r="I441" s="14">
        <v>125</v>
      </c>
      <c r="J441" s="14">
        <v>150</v>
      </c>
      <c r="K441" s="14">
        <v>125</v>
      </c>
      <c r="L441" s="14">
        <v>800</v>
      </c>
      <c r="M441" s="14">
        <f t="shared" si="233"/>
        <v>650</v>
      </c>
      <c r="N441" s="14">
        <v>2</v>
      </c>
      <c r="O441" s="14">
        <v>16</v>
      </c>
      <c r="P441" s="28">
        <f t="shared" si="201"/>
        <v>402.12385965949352</v>
      </c>
      <c r="Q441" s="37">
        <f t="shared" si="213"/>
        <v>1.5174485270169567E-2</v>
      </c>
      <c r="R441" s="28">
        <v>460</v>
      </c>
      <c r="S441" s="53">
        <f t="shared" si="229"/>
        <v>3.7735849056603774</v>
      </c>
      <c r="T441" s="53">
        <f t="shared" si="230"/>
        <v>3.0660377358490565</v>
      </c>
      <c r="U441" s="14">
        <v>10</v>
      </c>
      <c r="V441" s="14">
        <v>59.4</v>
      </c>
      <c r="W441" s="14" t="s">
        <v>456</v>
      </c>
      <c r="X441" s="7">
        <f t="shared" si="214"/>
        <v>1</v>
      </c>
      <c r="Y441" s="14">
        <v>30</v>
      </c>
      <c r="Z441" s="18">
        <v>0.5</v>
      </c>
      <c r="AA441" s="14">
        <v>0.55000000000000004</v>
      </c>
      <c r="AB441" s="28">
        <f>Y441/AA441</f>
        <v>54.54545454545454</v>
      </c>
      <c r="AC441" s="14">
        <v>1100</v>
      </c>
      <c r="AD441" s="7">
        <f t="shared" si="202"/>
        <v>0.27272727272727271</v>
      </c>
      <c r="AE441" s="28">
        <f t="shared" si="234"/>
        <v>43330</v>
      </c>
      <c r="AF441" s="28">
        <v>86.66</v>
      </c>
      <c r="AG441" s="53">
        <f t="shared" si="226"/>
        <v>1.6704716981132075</v>
      </c>
      <c r="AH441" s="45">
        <f t="shared" si="203"/>
        <v>0.21674340887213975</v>
      </c>
      <c r="AI441" s="45">
        <f t="shared" si="204"/>
        <v>0.42813129420394774</v>
      </c>
      <c r="AJ441" s="28">
        <f t="shared" si="231"/>
        <v>43.33</v>
      </c>
      <c r="AK441" s="21">
        <f t="shared" si="205"/>
        <v>0.78125</v>
      </c>
      <c r="AL441" s="28">
        <f t="shared" si="232"/>
        <v>0.9375</v>
      </c>
      <c r="AM441" s="28">
        <f t="shared" si="225"/>
        <v>44.267499999999998</v>
      </c>
      <c r="AN441" s="41">
        <f t="shared" si="206"/>
        <v>1.6704716981132075</v>
      </c>
      <c r="AO441" s="41">
        <f t="shared" si="207"/>
        <v>0.21674340887213975</v>
      </c>
      <c r="AP441" s="41">
        <f t="shared" si="208"/>
        <v>0.42813129420394774</v>
      </c>
      <c r="AQ441" s="21">
        <f t="shared" si="209"/>
        <v>0.47749999999999998</v>
      </c>
      <c r="AR441" s="21">
        <f t="shared" si="210"/>
        <v>34.664000000000001</v>
      </c>
      <c r="AS441" s="21">
        <f t="shared" si="211"/>
        <v>35.141500000000001</v>
      </c>
      <c r="AT441" s="41">
        <f t="shared" si="212"/>
        <v>3.74454831316045</v>
      </c>
      <c r="AU441" s="14"/>
      <c r="AV441" s="3"/>
      <c r="AW441" s="3"/>
      <c r="AX441" s="3"/>
      <c r="AY441" s="3"/>
      <c r="AZ441" s="14"/>
      <c r="BA441" s="3"/>
      <c r="BB441" s="3"/>
      <c r="BC441" s="3"/>
      <c r="BD441" s="3"/>
      <c r="BE441" s="3"/>
      <c r="BF441" s="3"/>
      <c r="BG441" s="3"/>
    </row>
    <row r="442" spans="1:59" x14ac:dyDescent="0.25">
      <c r="A442" s="4" t="s">
        <v>52</v>
      </c>
      <c r="B442" s="4" t="s">
        <v>415</v>
      </c>
      <c r="C442">
        <v>125</v>
      </c>
      <c r="D442">
        <v>250</v>
      </c>
      <c r="E442" s="4">
        <v>212</v>
      </c>
      <c r="F442">
        <v>2880</v>
      </c>
      <c r="G442">
        <v>2400</v>
      </c>
      <c r="H442">
        <v>150</v>
      </c>
      <c r="I442">
        <v>125</v>
      </c>
      <c r="J442">
        <v>150</v>
      </c>
      <c r="K442">
        <v>125</v>
      </c>
      <c r="L442">
        <v>800</v>
      </c>
      <c r="M442">
        <f t="shared" si="233"/>
        <v>650</v>
      </c>
      <c r="N442">
        <v>2</v>
      </c>
      <c r="O442" s="4">
        <v>16</v>
      </c>
      <c r="P442" s="21">
        <f t="shared" si="201"/>
        <v>402.12385965949352</v>
      </c>
      <c r="Q442" s="29">
        <f t="shared" si="213"/>
        <v>1.5174485270169567E-2</v>
      </c>
      <c r="R442" s="21">
        <v>460</v>
      </c>
      <c r="S442" s="41">
        <f t="shared" si="229"/>
        <v>3.7735849056603774</v>
      </c>
      <c r="T442" s="41">
        <f t="shared" si="230"/>
        <v>3.0660377358490565</v>
      </c>
      <c r="U442" s="4">
        <v>10</v>
      </c>
      <c r="V442" s="4">
        <v>49.6</v>
      </c>
      <c r="W442" s="4" t="s">
        <v>456</v>
      </c>
      <c r="X442" s="7">
        <f t="shared" si="214"/>
        <v>1</v>
      </c>
      <c r="Y442" s="4">
        <v>30</v>
      </c>
      <c r="Z442" s="8">
        <v>0.5</v>
      </c>
      <c r="AA442" s="4">
        <f>30/80</f>
        <v>0.375</v>
      </c>
      <c r="AB442" s="21">
        <f>Y442/AA442</f>
        <v>80</v>
      </c>
      <c r="AC442" s="4">
        <v>1100</v>
      </c>
      <c r="AD442" s="7">
        <f t="shared" si="202"/>
        <v>0.4</v>
      </c>
      <c r="AE442" s="21">
        <f t="shared" si="234"/>
        <v>45000</v>
      </c>
      <c r="AF442" s="21">
        <v>90</v>
      </c>
      <c r="AG442" s="41">
        <f t="shared" si="226"/>
        <v>1.7334905660377358</v>
      </c>
      <c r="AH442" s="45">
        <f t="shared" si="203"/>
        <v>0.24613912038419375</v>
      </c>
      <c r="AI442" s="45">
        <f t="shared" si="204"/>
        <v>0.47180324508890165</v>
      </c>
      <c r="AJ442" s="21">
        <f t="shared" si="231"/>
        <v>45</v>
      </c>
      <c r="AK442" s="21">
        <f t="shared" si="205"/>
        <v>0.78125</v>
      </c>
      <c r="AL442" s="21">
        <f t="shared" si="232"/>
        <v>0.9375</v>
      </c>
      <c r="AM442" s="21">
        <f t="shared" si="225"/>
        <v>45.9375</v>
      </c>
      <c r="AN442" s="41">
        <f t="shared" si="206"/>
        <v>1.7334905660377358</v>
      </c>
      <c r="AO442" s="41">
        <f t="shared" si="207"/>
        <v>0.24613912038419375</v>
      </c>
      <c r="AP442" s="41">
        <f t="shared" si="208"/>
        <v>0.47180324508890165</v>
      </c>
      <c r="AQ442" s="21">
        <f t="shared" si="209"/>
        <v>0.47749999999999998</v>
      </c>
      <c r="AR442" s="21">
        <f t="shared" si="210"/>
        <v>36</v>
      </c>
      <c r="AS442" s="21">
        <f t="shared" si="211"/>
        <v>36.477499999999999</v>
      </c>
      <c r="AT442" s="41">
        <f t="shared" si="212"/>
        <v>3.745603901938134</v>
      </c>
    </row>
    <row r="443" spans="1:59" x14ac:dyDescent="0.25">
      <c r="B443" s="4" t="s">
        <v>416</v>
      </c>
      <c r="C443">
        <v>125</v>
      </c>
      <c r="D443">
        <v>250</v>
      </c>
      <c r="E443">
        <f>D443-30-20/2</f>
        <v>210</v>
      </c>
      <c r="F443">
        <v>2880</v>
      </c>
      <c r="G443">
        <v>2400</v>
      </c>
      <c r="H443">
        <v>150</v>
      </c>
      <c r="I443">
        <v>125</v>
      </c>
      <c r="J443">
        <v>150</v>
      </c>
      <c r="K443">
        <v>125</v>
      </c>
      <c r="L443">
        <v>800</v>
      </c>
      <c r="M443">
        <f t="shared" si="233"/>
        <v>650</v>
      </c>
      <c r="N443">
        <v>2</v>
      </c>
      <c r="O443" s="4">
        <v>19.5</v>
      </c>
      <c r="P443" s="21">
        <f t="shared" si="201"/>
        <v>597.29530326375937</v>
      </c>
      <c r="Q443" s="29">
        <f t="shared" si="213"/>
        <v>2.2754106791000355E-2</v>
      </c>
      <c r="R443" s="21">
        <v>460</v>
      </c>
      <c r="S443" s="41">
        <f t="shared" si="229"/>
        <v>3.8095238095238093</v>
      </c>
      <c r="T443" s="41">
        <f t="shared" si="230"/>
        <v>3.0952380952380953</v>
      </c>
      <c r="U443" s="4">
        <v>10</v>
      </c>
      <c r="V443" s="4">
        <v>49.7</v>
      </c>
      <c r="W443" s="4" t="s">
        <v>456</v>
      </c>
      <c r="X443" s="7">
        <f t="shared" si="214"/>
        <v>1</v>
      </c>
      <c r="Y443" s="4">
        <v>30</v>
      </c>
      <c r="Z443" s="8">
        <v>0.75</v>
      </c>
      <c r="AA443" s="4">
        <v>0.55000000000000004</v>
      </c>
      <c r="AB443" s="21">
        <v>55</v>
      </c>
      <c r="AC443" s="4">
        <v>1100</v>
      </c>
      <c r="AD443" s="7">
        <f t="shared" si="202"/>
        <v>0.41249999999999998</v>
      </c>
      <c r="AE443" s="21">
        <f t="shared" si="234"/>
        <v>44000</v>
      </c>
      <c r="AF443" s="21">
        <v>88</v>
      </c>
      <c r="AG443" s="41">
        <f t="shared" si="226"/>
        <v>1.7119047619047618</v>
      </c>
      <c r="AH443" s="45">
        <f t="shared" si="203"/>
        <v>0.24282947763377355</v>
      </c>
      <c r="AI443" s="45">
        <f t="shared" si="204"/>
        <v>0.46561554414832268</v>
      </c>
      <c r="AJ443" s="21">
        <f t="shared" si="231"/>
        <v>44</v>
      </c>
      <c r="AK443" s="21">
        <f t="shared" si="205"/>
        <v>0.78125</v>
      </c>
      <c r="AL443" s="21">
        <f t="shared" si="232"/>
        <v>0.9375</v>
      </c>
      <c r="AM443" s="21">
        <f t="shared" si="225"/>
        <v>44.9375</v>
      </c>
      <c r="AN443" s="41">
        <f t="shared" si="206"/>
        <v>1.7119047619047618</v>
      </c>
      <c r="AO443" s="41">
        <f t="shared" si="207"/>
        <v>0.24282947763377355</v>
      </c>
      <c r="AP443" s="41">
        <f t="shared" si="208"/>
        <v>0.46561554414832268</v>
      </c>
      <c r="AQ443" s="21">
        <f t="shared" si="209"/>
        <v>0.47749999999999998</v>
      </c>
      <c r="AR443" s="21">
        <f t="shared" si="210"/>
        <v>35.200000000000003</v>
      </c>
      <c r="AS443" s="21">
        <f t="shared" si="211"/>
        <v>35.677500000000002</v>
      </c>
      <c r="AT443" s="41">
        <f t="shared" si="212"/>
        <v>3.7806477250149015</v>
      </c>
    </row>
    <row r="444" spans="1:59" x14ac:dyDescent="0.25">
      <c r="B444" s="4" t="s">
        <v>417</v>
      </c>
      <c r="C444">
        <v>125</v>
      </c>
      <c r="D444">
        <v>250</v>
      </c>
      <c r="E444">
        <f>D444-30-20/2</f>
        <v>210</v>
      </c>
      <c r="F444">
        <v>2880</v>
      </c>
      <c r="G444">
        <v>2400</v>
      </c>
      <c r="H444">
        <v>150</v>
      </c>
      <c r="I444">
        <v>125</v>
      </c>
      <c r="J444">
        <v>150</v>
      </c>
      <c r="K444">
        <v>125</v>
      </c>
      <c r="L444">
        <v>800</v>
      </c>
      <c r="M444">
        <f t="shared" si="233"/>
        <v>650</v>
      </c>
      <c r="N444">
        <v>2</v>
      </c>
      <c r="O444" s="4">
        <v>19.5</v>
      </c>
      <c r="P444" s="21">
        <f t="shared" si="201"/>
        <v>597.29530326375937</v>
      </c>
      <c r="Q444" s="29">
        <f t="shared" si="213"/>
        <v>2.2754106791000355E-2</v>
      </c>
      <c r="R444" s="21">
        <v>460</v>
      </c>
      <c r="S444" s="41">
        <f t="shared" si="229"/>
        <v>3.8095238095238093</v>
      </c>
      <c r="T444" s="41">
        <f t="shared" si="230"/>
        <v>3.0952380952380953</v>
      </c>
      <c r="U444" s="4">
        <v>10</v>
      </c>
      <c r="V444" s="4">
        <v>51.5</v>
      </c>
      <c r="W444" s="4" t="s">
        <v>456</v>
      </c>
      <c r="X444" s="7">
        <f t="shared" si="214"/>
        <v>1</v>
      </c>
      <c r="Y444" s="4">
        <v>30</v>
      </c>
      <c r="Z444" s="8">
        <v>1</v>
      </c>
      <c r="AA444" s="4">
        <v>0.55000000000000004</v>
      </c>
      <c r="AB444" s="21">
        <v>55</v>
      </c>
      <c r="AC444" s="4">
        <v>1100</v>
      </c>
      <c r="AD444" s="7">
        <f t="shared" si="202"/>
        <v>0.55000000000000004</v>
      </c>
      <c r="AE444" s="21">
        <f t="shared" si="234"/>
        <v>58000</v>
      </c>
      <c r="AF444" s="21">
        <v>116</v>
      </c>
      <c r="AG444" s="41">
        <f t="shared" si="226"/>
        <v>2.2452380952380953</v>
      </c>
      <c r="AH444" s="45">
        <f t="shared" si="203"/>
        <v>0.31286630117952163</v>
      </c>
      <c r="AI444" s="45">
        <f t="shared" si="204"/>
        <v>0.60347598554957649</v>
      </c>
      <c r="AJ444" s="21">
        <f t="shared" si="231"/>
        <v>58</v>
      </c>
      <c r="AK444" s="21">
        <f t="shared" si="205"/>
        <v>0.78125</v>
      </c>
      <c r="AL444" s="21">
        <f t="shared" si="232"/>
        <v>0.9375</v>
      </c>
      <c r="AM444" s="21">
        <f t="shared" si="225"/>
        <v>58.9375</v>
      </c>
      <c r="AN444" s="41">
        <f t="shared" si="206"/>
        <v>2.2452380952380953</v>
      </c>
      <c r="AO444" s="41">
        <f t="shared" si="207"/>
        <v>0.31286630117952163</v>
      </c>
      <c r="AP444" s="41">
        <f t="shared" si="208"/>
        <v>0.60347598554957649</v>
      </c>
      <c r="AQ444" s="21">
        <f t="shared" si="209"/>
        <v>0.47749999999999998</v>
      </c>
      <c r="AR444" s="21">
        <f t="shared" si="210"/>
        <v>46.4</v>
      </c>
      <c r="AS444" s="21">
        <f t="shared" si="211"/>
        <v>46.877499999999998</v>
      </c>
      <c r="AT444" s="41">
        <f t="shared" si="212"/>
        <v>3.7875069433924149</v>
      </c>
    </row>
    <row r="445" spans="1:59" x14ac:dyDescent="0.25">
      <c r="A445" s="1"/>
      <c r="B445" s="10" t="s">
        <v>418</v>
      </c>
      <c r="C445" s="1">
        <v>125</v>
      </c>
      <c r="D445" s="1">
        <v>250</v>
      </c>
      <c r="E445" s="1">
        <f>D445-30-20/2</f>
        <v>210</v>
      </c>
      <c r="F445" s="1">
        <v>2880</v>
      </c>
      <c r="G445" s="1">
        <v>2400</v>
      </c>
      <c r="H445" s="1">
        <v>150</v>
      </c>
      <c r="I445" s="1">
        <v>125</v>
      </c>
      <c r="J445" s="1">
        <v>150</v>
      </c>
      <c r="K445" s="1">
        <v>125</v>
      </c>
      <c r="L445" s="1">
        <v>800</v>
      </c>
      <c r="M445" s="1">
        <f t="shared" si="233"/>
        <v>650</v>
      </c>
      <c r="N445" s="1">
        <v>2</v>
      </c>
      <c r="O445" s="10">
        <v>19.5</v>
      </c>
      <c r="P445" s="27">
        <f t="shared" si="201"/>
        <v>597.29530326375937</v>
      </c>
      <c r="Q445" s="36">
        <f t="shared" si="213"/>
        <v>2.2754106791000355E-2</v>
      </c>
      <c r="R445" s="27">
        <v>460</v>
      </c>
      <c r="S445" s="48">
        <f t="shared" si="229"/>
        <v>3.8095238095238093</v>
      </c>
      <c r="T445" s="48">
        <f t="shared" si="230"/>
        <v>3.0952380952380953</v>
      </c>
      <c r="U445" s="1">
        <v>12</v>
      </c>
      <c r="V445" s="10">
        <v>54.5</v>
      </c>
      <c r="W445" s="10" t="s">
        <v>456</v>
      </c>
      <c r="X445" s="7">
        <f t="shared" si="214"/>
        <v>1</v>
      </c>
      <c r="Y445" s="10">
        <v>30</v>
      </c>
      <c r="Z445" s="9">
        <v>1</v>
      </c>
      <c r="AA445" s="10">
        <v>0.55000000000000004</v>
      </c>
      <c r="AB445" s="27">
        <v>55</v>
      </c>
      <c r="AC445" s="10">
        <v>1100</v>
      </c>
      <c r="AD445" s="7">
        <f t="shared" si="202"/>
        <v>0.55000000000000004</v>
      </c>
      <c r="AE445" s="27">
        <f t="shared" si="234"/>
        <v>59000</v>
      </c>
      <c r="AF445" s="27">
        <v>118</v>
      </c>
      <c r="AG445" s="48">
        <f t="shared" si="226"/>
        <v>2.2833333333333332</v>
      </c>
      <c r="AH445" s="45">
        <f t="shared" si="203"/>
        <v>0.30929369407522567</v>
      </c>
      <c r="AI445" s="45">
        <f t="shared" si="204"/>
        <v>0.60224122761216647</v>
      </c>
      <c r="AJ445" s="27">
        <f t="shared" si="231"/>
        <v>59</v>
      </c>
      <c r="AK445" s="21">
        <f t="shared" si="205"/>
        <v>0.78125</v>
      </c>
      <c r="AL445" s="27">
        <f t="shared" si="232"/>
        <v>0.9375</v>
      </c>
      <c r="AM445" s="27">
        <f t="shared" si="225"/>
        <v>59.9375</v>
      </c>
      <c r="AN445" s="41">
        <f t="shared" si="206"/>
        <v>2.2833333333333332</v>
      </c>
      <c r="AO445" s="41">
        <f t="shared" si="207"/>
        <v>0.30929369407522567</v>
      </c>
      <c r="AP445" s="41">
        <f t="shared" si="208"/>
        <v>0.60224122761216647</v>
      </c>
      <c r="AQ445" s="21">
        <f t="shared" si="209"/>
        <v>0.47749999999999998</v>
      </c>
      <c r="AR445" s="21">
        <f t="shared" si="210"/>
        <v>47.2</v>
      </c>
      <c r="AS445" s="21">
        <f t="shared" si="211"/>
        <v>47.677500000000002</v>
      </c>
      <c r="AT445" s="41">
        <f t="shared" si="212"/>
        <v>3.7878742737971103</v>
      </c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</row>
    <row r="446" spans="1:59" x14ac:dyDescent="0.25">
      <c r="A446" t="s">
        <v>53</v>
      </c>
      <c r="B446" s="4" t="s">
        <v>419</v>
      </c>
      <c r="C446" s="4">
        <v>100</v>
      </c>
      <c r="D446" s="4">
        <v>170</v>
      </c>
      <c r="E446">
        <f>D446-25-10/2</f>
        <v>140</v>
      </c>
      <c r="F446" s="4">
        <v>1400</v>
      </c>
      <c r="G446" s="4">
        <v>1100</v>
      </c>
      <c r="H446" s="4">
        <v>10</v>
      </c>
      <c r="I446" s="4">
        <v>100</v>
      </c>
      <c r="J446" s="4">
        <v>150</v>
      </c>
      <c r="K446" s="4">
        <v>50</v>
      </c>
      <c r="L446" s="4">
        <v>150</v>
      </c>
      <c r="M446" s="4">
        <f t="shared" si="233"/>
        <v>70</v>
      </c>
      <c r="N446" s="4">
        <v>2</v>
      </c>
      <c r="O446" s="4">
        <v>10</v>
      </c>
      <c r="P446" s="21">
        <f t="shared" si="201"/>
        <v>157.07963267948966</v>
      </c>
      <c r="Q446" s="29">
        <f t="shared" si="213"/>
        <v>1.121997376282069E-2</v>
      </c>
      <c r="R446" s="21">
        <v>420</v>
      </c>
      <c r="S446" s="41">
        <f t="shared" si="229"/>
        <v>1.0714285714285714</v>
      </c>
      <c r="T446" s="41">
        <f t="shared" si="230"/>
        <v>0.5</v>
      </c>
      <c r="U446" s="4">
        <v>12.5</v>
      </c>
      <c r="V446" s="4">
        <v>36.08</v>
      </c>
      <c r="W446" s="4" t="s">
        <v>456</v>
      </c>
      <c r="X446" s="7">
        <f t="shared" si="214"/>
        <v>1</v>
      </c>
      <c r="Y446" s="4">
        <v>50</v>
      </c>
      <c r="Z446" s="8">
        <v>0.5</v>
      </c>
      <c r="AA446">
        <v>0.8</v>
      </c>
      <c r="AB446" s="21">
        <v>62.52</v>
      </c>
      <c r="AC446" s="4">
        <v>1100</v>
      </c>
      <c r="AD446" s="7">
        <f t="shared" si="202"/>
        <v>0.31259999999999999</v>
      </c>
      <c r="AE446" s="21">
        <f t="shared" si="234"/>
        <v>73145</v>
      </c>
      <c r="AF446" s="21">
        <v>146.29</v>
      </c>
      <c r="AG446" s="41">
        <f t="shared" si="226"/>
        <v>5.241339285714286</v>
      </c>
      <c r="AH446" s="45">
        <f t="shared" si="203"/>
        <v>0.87258754394019244</v>
      </c>
      <c r="AI446" s="45">
        <f t="shared" si="204"/>
        <v>1.5861835101946193</v>
      </c>
      <c r="AJ446" s="21">
        <f t="shared" si="231"/>
        <v>73.144999999999996</v>
      </c>
      <c r="AK446" s="21">
        <f t="shared" si="205"/>
        <v>0.42499999999999999</v>
      </c>
      <c r="AL446" s="21">
        <f t="shared" si="232"/>
        <v>0.23375000000000004</v>
      </c>
      <c r="AM446" s="21">
        <f t="shared" si="225"/>
        <v>73.378749999999997</v>
      </c>
      <c r="AN446" s="41">
        <f t="shared" si="206"/>
        <v>5.241339285714286</v>
      </c>
      <c r="AO446" s="41">
        <f t="shared" si="207"/>
        <v>0.87258754394019244</v>
      </c>
      <c r="AP446" s="41">
        <f t="shared" si="208"/>
        <v>1.5861835101946193</v>
      </c>
      <c r="AQ446" s="21">
        <f t="shared" si="209"/>
        <v>2.5499999999999998E-2</v>
      </c>
      <c r="AR446" s="21">
        <f t="shared" si="210"/>
        <v>10.97175</v>
      </c>
      <c r="AS446" s="21">
        <f t="shared" si="211"/>
        <v>10.997249999999999</v>
      </c>
      <c r="AT446" s="41">
        <f t="shared" si="212"/>
        <v>1.0704977355744778</v>
      </c>
      <c r="AU446" s="4"/>
    </row>
    <row r="447" spans="1:59" x14ac:dyDescent="0.25">
      <c r="A447">
        <v>2018</v>
      </c>
      <c r="B447" s="4" t="s">
        <v>420</v>
      </c>
      <c r="C447" s="4">
        <v>100</v>
      </c>
      <c r="D447" s="4">
        <v>170</v>
      </c>
      <c r="E447">
        <f t="shared" ref="E447:E453" si="235">D447-25-10/2</f>
        <v>140</v>
      </c>
      <c r="F447" s="4">
        <v>1400</v>
      </c>
      <c r="G447" s="4">
        <v>1100</v>
      </c>
      <c r="H447" s="4">
        <v>10</v>
      </c>
      <c r="I447" s="4">
        <v>100</v>
      </c>
      <c r="J447" s="4">
        <v>150</v>
      </c>
      <c r="K447" s="4">
        <v>50</v>
      </c>
      <c r="L447" s="4">
        <v>150</v>
      </c>
      <c r="M447" s="4">
        <f t="shared" si="233"/>
        <v>70</v>
      </c>
      <c r="N447" s="4">
        <v>2</v>
      </c>
      <c r="O447" s="4">
        <v>10</v>
      </c>
      <c r="P447" s="21">
        <f t="shared" si="201"/>
        <v>157.07963267948966</v>
      </c>
      <c r="Q447" s="29">
        <f t="shared" si="213"/>
        <v>1.121997376282069E-2</v>
      </c>
      <c r="R447" s="21">
        <v>420</v>
      </c>
      <c r="S447" s="41">
        <f t="shared" si="229"/>
        <v>1.0714285714285714</v>
      </c>
      <c r="T447" s="41">
        <f t="shared" si="230"/>
        <v>0.5</v>
      </c>
      <c r="U447" s="4">
        <v>12.5</v>
      </c>
      <c r="V447" s="4">
        <v>36.9</v>
      </c>
      <c r="W447" s="4" t="s">
        <v>456</v>
      </c>
      <c r="X447" s="7">
        <f t="shared" si="214"/>
        <v>1</v>
      </c>
      <c r="Y447" s="4">
        <v>50</v>
      </c>
      <c r="Z447" s="8">
        <v>0.75</v>
      </c>
      <c r="AA447">
        <v>0.8</v>
      </c>
      <c r="AB447" s="21">
        <v>62.52</v>
      </c>
      <c r="AC447" s="4">
        <v>1100</v>
      </c>
      <c r="AD447" s="7">
        <f t="shared" si="202"/>
        <v>0.46889999999999998</v>
      </c>
      <c r="AE447" s="21">
        <f t="shared" si="234"/>
        <v>86840</v>
      </c>
      <c r="AF447" s="21">
        <v>173.68</v>
      </c>
      <c r="AG447" s="41">
        <f t="shared" si="226"/>
        <v>6.2195535714285723</v>
      </c>
      <c r="AH447" s="45">
        <f t="shared" si="203"/>
        <v>1.0238728567412765</v>
      </c>
      <c r="AI447" s="45">
        <f t="shared" si="204"/>
        <v>1.8681729990151137</v>
      </c>
      <c r="AJ447" s="21">
        <f t="shared" si="231"/>
        <v>86.84</v>
      </c>
      <c r="AK447" s="21">
        <f t="shared" si="205"/>
        <v>0.42499999999999999</v>
      </c>
      <c r="AL447" s="21">
        <f t="shared" si="232"/>
        <v>0.23375000000000004</v>
      </c>
      <c r="AM447" s="21">
        <f t="shared" si="225"/>
        <v>87.073750000000004</v>
      </c>
      <c r="AN447" s="41">
        <f t="shared" si="206"/>
        <v>6.2195535714285715</v>
      </c>
      <c r="AO447" s="41">
        <f t="shared" si="207"/>
        <v>1.0238728567412763</v>
      </c>
      <c r="AP447" s="41">
        <f t="shared" si="208"/>
        <v>1.8681729990151135</v>
      </c>
      <c r="AQ447" s="21">
        <f t="shared" si="209"/>
        <v>2.5499999999999998E-2</v>
      </c>
      <c r="AR447" s="21">
        <f t="shared" si="210"/>
        <v>13.026</v>
      </c>
      <c r="AS447" s="21">
        <f t="shared" si="211"/>
        <v>13.051499999999999</v>
      </c>
      <c r="AT447" s="41">
        <f t="shared" si="212"/>
        <v>1.0706441378716316</v>
      </c>
      <c r="AU447" s="4"/>
    </row>
    <row r="448" spans="1:59" x14ac:dyDescent="0.25">
      <c r="B448" s="4" t="s">
        <v>421</v>
      </c>
      <c r="C448" s="4">
        <v>100</v>
      </c>
      <c r="D448" s="4">
        <v>170</v>
      </c>
      <c r="E448">
        <f t="shared" si="235"/>
        <v>140</v>
      </c>
      <c r="F448" s="4">
        <v>1400</v>
      </c>
      <c r="G448" s="4">
        <v>1100</v>
      </c>
      <c r="H448" s="4">
        <v>10</v>
      </c>
      <c r="I448" s="4">
        <v>100</v>
      </c>
      <c r="J448" s="4">
        <v>150</v>
      </c>
      <c r="K448" s="4">
        <v>50</v>
      </c>
      <c r="L448" s="4">
        <v>350</v>
      </c>
      <c r="M448" s="4">
        <f t="shared" si="233"/>
        <v>270</v>
      </c>
      <c r="N448" s="4">
        <v>2</v>
      </c>
      <c r="O448" s="4">
        <v>10</v>
      </c>
      <c r="P448" s="21">
        <f t="shared" si="201"/>
        <v>157.07963267948966</v>
      </c>
      <c r="Q448" s="29">
        <f t="shared" si="213"/>
        <v>1.121997376282069E-2</v>
      </c>
      <c r="R448" s="21">
        <v>420</v>
      </c>
      <c r="S448" s="41">
        <f t="shared" si="229"/>
        <v>2.5</v>
      </c>
      <c r="T448" s="41">
        <f t="shared" si="230"/>
        <v>1.9285714285714286</v>
      </c>
      <c r="U448" s="4">
        <v>12.5</v>
      </c>
      <c r="V448" s="4">
        <v>36.08</v>
      </c>
      <c r="W448" s="4" t="s">
        <v>456</v>
      </c>
      <c r="X448" s="7">
        <f t="shared" si="214"/>
        <v>1</v>
      </c>
      <c r="Y448" s="4">
        <v>50</v>
      </c>
      <c r="Z448" s="8">
        <v>0.5</v>
      </c>
      <c r="AA448">
        <v>0.8</v>
      </c>
      <c r="AB448" s="21">
        <v>62.52</v>
      </c>
      <c r="AC448" s="4">
        <v>1100</v>
      </c>
      <c r="AD448" s="7">
        <f t="shared" si="202"/>
        <v>0.31259999999999999</v>
      </c>
      <c r="AE448" s="21">
        <f t="shared" si="234"/>
        <v>40530</v>
      </c>
      <c r="AF448" s="21">
        <v>81.06</v>
      </c>
      <c r="AG448" s="41">
        <f t="shared" si="226"/>
        <v>2.9116964285714291</v>
      </c>
      <c r="AH448" s="45">
        <f t="shared" si="203"/>
        <v>0.48474443206366996</v>
      </c>
      <c r="AI448" s="45">
        <f t="shared" si="204"/>
        <v>0.88116502480208403</v>
      </c>
      <c r="AJ448" s="21">
        <f t="shared" si="231"/>
        <v>40.53</v>
      </c>
      <c r="AK448" s="21">
        <f t="shared" si="205"/>
        <v>0.42499999999999999</v>
      </c>
      <c r="AL448" s="21">
        <f t="shared" si="232"/>
        <v>0.23375000000000004</v>
      </c>
      <c r="AM448" s="21">
        <f t="shared" si="225"/>
        <v>40.763750000000002</v>
      </c>
      <c r="AN448" s="41">
        <f t="shared" si="206"/>
        <v>2.9116964285714286</v>
      </c>
      <c r="AO448" s="41">
        <f t="shared" si="207"/>
        <v>0.48474443206366991</v>
      </c>
      <c r="AP448" s="41">
        <f t="shared" si="208"/>
        <v>0.88116502480208392</v>
      </c>
      <c r="AQ448" s="21">
        <f t="shared" si="209"/>
        <v>5.0999999999999997E-2</v>
      </c>
      <c r="AR448" s="21">
        <f t="shared" si="210"/>
        <v>14.185499999999999</v>
      </c>
      <c r="AS448" s="21">
        <f t="shared" si="211"/>
        <v>14.236499999999999</v>
      </c>
      <c r="AT448" s="41">
        <f t="shared" si="212"/>
        <v>2.4946008577298633</v>
      </c>
      <c r="AU448" s="4"/>
    </row>
    <row r="449" spans="2:47" x14ac:dyDescent="0.25">
      <c r="B449" s="4" t="s">
        <v>422</v>
      </c>
      <c r="C449" s="4">
        <v>100</v>
      </c>
      <c r="D449" s="4">
        <v>170</v>
      </c>
      <c r="E449">
        <f t="shared" si="235"/>
        <v>140</v>
      </c>
      <c r="F449" s="4">
        <v>1400</v>
      </c>
      <c r="G449" s="4">
        <v>1100</v>
      </c>
      <c r="H449" s="4">
        <v>10</v>
      </c>
      <c r="I449" s="4">
        <v>100</v>
      </c>
      <c r="J449" s="4">
        <v>150</v>
      </c>
      <c r="K449" s="4">
        <v>50</v>
      </c>
      <c r="L449" s="4">
        <v>350</v>
      </c>
      <c r="M449" s="4">
        <f t="shared" si="233"/>
        <v>270</v>
      </c>
      <c r="N449" s="4">
        <v>2</v>
      </c>
      <c r="O449" s="4">
        <v>10</v>
      </c>
      <c r="P449" s="21">
        <f t="shared" si="201"/>
        <v>157.07963267948966</v>
      </c>
      <c r="Q449" s="29">
        <f t="shared" si="213"/>
        <v>1.121997376282069E-2</v>
      </c>
      <c r="R449" s="21">
        <v>420</v>
      </c>
      <c r="S449" s="41">
        <f t="shared" si="229"/>
        <v>2.5</v>
      </c>
      <c r="T449" s="41">
        <f t="shared" si="230"/>
        <v>1.9285714285714286</v>
      </c>
      <c r="U449" s="4">
        <v>12.5</v>
      </c>
      <c r="V449" s="4">
        <v>36.9</v>
      </c>
      <c r="W449" s="4" t="s">
        <v>456</v>
      </c>
      <c r="X449" s="7">
        <f t="shared" si="214"/>
        <v>1</v>
      </c>
      <c r="Y449" s="4">
        <v>50</v>
      </c>
      <c r="Z449" s="8">
        <v>0.75</v>
      </c>
      <c r="AA449">
        <v>0.8</v>
      </c>
      <c r="AB449" s="21">
        <v>62.52</v>
      </c>
      <c r="AC449" s="4">
        <v>1100</v>
      </c>
      <c r="AD449" s="7">
        <f t="shared" si="202"/>
        <v>0.46889999999999998</v>
      </c>
      <c r="AE449" s="21">
        <f t="shared" si="234"/>
        <v>50895</v>
      </c>
      <c r="AF449" s="21">
        <v>101.79</v>
      </c>
      <c r="AG449" s="41">
        <f t="shared" si="226"/>
        <v>3.6520535714285716</v>
      </c>
      <c r="AH449" s="45">
        <f t="shared" si="203"/>
        <v>0.60120690017497269</v>
      </c>
      <c r="AI449" s="45">
        <f t="shared" si="204"/>
        <v>1.0969706739791727</v>
      </c>
      <c r="AJ449" s="21">
        <f t="shared" si="231"/>
        <v>50.895000000000003</v>
      </c>
      <c r="AK449" s="21">
        <f t="shared" si="205"/>
        <v>0.42499999999999999</v>
      </c>
      <c r="AL449" s="21">
        <f t="shared" si="232"/>
        <v>0.23375000000000004</v>
      </c>
      <c r="AM449" s="21">
        <f t="shared" si="225"/>
        <v>51.128750000000004</v>
      </c>
      <c r="AN449" s="41">
        <f t="shared" si="206"/>
        <v>3.652053571428572</v>
      </c>
      <c r="AO449" s="41">
        <f t="shared" si="207"/>
        <v>0.6012069001749728</v>
      </c>
      <c r="AP449" s="41">
        <f t="shared" si="208"/>
        <v>1.0969706739791727</v>
      </c>
      <c r="AQ449" s="21">
        <f t="shared" si="209"/>
        <v>5.0999999999999997E-2</v>
      </c>
      <c r="AR449" s="21">
        <f t="shared" si="210"/>
        <v>17.81325</v>
      </c>
      <c r="AS449" s="21">
        <f t="shared" si="211"/>
        <v>17.864249999999998</v>
      </c>
      <c r="AT449" s="41">
        <f t="shared" si="212"/>
        <v>2.4956953908375561</v>
      </c>
      <c r="AU449" s="4"/>
    </row>
    <row r="450" spans="2:47" x14ac:dyDescent="0.25">
      <c r="B450" s="4" t="s">
        <v>423</v>
      </c>
      <c r="C450" s="4">
        <v>100</v>
      </c>
      <c r="D450" s="4">
        <v>180</v>
      </c>
      <c r="E450">
        <f t="shared" si="235"/>
        <v>150</v>
      </c>
      <c r="F450" s="4">
        <v>1400</v>
      </c>
      <c r="G450" s="4">
        <v>1100</v>
      </c>
      <c r="H450" s="4">
        <v>10</v>
      </c>
      <c r="I450" s="4">
        <v>100</v>
      </c>
      <c r="J450" s="4">
        <v>150</v>
      </c>
      <c r="K450" s="4">
        <v>50</v>
      </c>
      <c r="L450" s="4">
        <v>150</v>
      </c>
      <c r="M450" s="4">
        <f t="shared" si="233"/>
        <v>70</v>
      </c>
      <c r="N450" s="4">
        <v>2</v>
      </c>
      <c r="O450" s="4">
        <v>10</v>
      </c>
      <c r="P450" s="21">
        <f t="shared" si="201"/>
        <v>157.07963267948966</v>
      </c>
      <c r="Q450" s="29">
        <f t="shared" si="213"/>
        <v>1.0471975511965978E-2</v>
      </c>
      <c r="R450" s="21">
        <v>420</v>
      </c>
      <c r="S450" s="41">
        <f t="shared" si="229"/>
        <v>1</v>
      </c>
      <c r="T450" s="41">
        <f t="shared" si="230"/>
        <v>0.46666666666666667</v>
      </c>
      <c r="U450" s="4">
        <v>12.5</v>
      </c>
      <c r="V450" s="4">
        <v>36.08</v>
      </c>
      <c r="W450" s="4" t="s">
        <v>456</v>
      </c>
      <c r="X450" s="7">
        <f t="shared" si="214"/>
        <v>1</v>
      </c>
      <c r="Y450" s="4">
        <v>50</v>
      </c>
      <c r="Z450" s="8">
        <v>0.5</v>
      </c>
      <c r="AA450">
        <v>0.8</v>
      </c>
      <c r="AB450" s="21">
        <v>62.52</v>
      </c>
      <c r="AC450" s="4">
        <v>1100</v>
      </c>
      <c r="AD450" s="7">
        <f t="shared" si="202"/>
        <v>0.31259999999999999</v>
      </c>
      <c r="AE450" s="21">
        <f t="shared" si="234"/>
        <v>106425</v>
      </c>
      <c r="AF450" s="21">
        <v>212.85</v>
      </c>
      <c r="AG450" s="41">
        <f t="shared" si="226"/>
        <v>7.1114999999999995</v>
      </c>
      <c r="AH450" s="45">
        <f t="shared" si="203"/>
        <v>1.1839352464062074</v>
      </c>
      <c r="AI450" s="45">
        <f t="shared" si="204"/>
        <v>2.1521491775001138</v>
      </c>
      <c r="AJ450" s="21">
        <f t="shared" si="231"/>
        <v>106.425</v>
      </c>
      <c r="AK450" s="21">
        <f t="shared" si="205"/>
        <v>0.45</v>
      </c>
      <c r="AL450" s="21">
        <f t="shared" si="232"/>
        <v>0.24750000000000005</v>
      </c>
      <c r="AM450" s="21">
        <f t="shared" si="225"/>
        <v>106.6725</v>
      </c>
      <c r="AN450" s="41">
        <f t="shared" si="206"/>
        <v>7.1115000000000004</v>
      </c>
      <c r="AO450" s="41">
        <f t="shared" si="207"/>
        <v>1.1839352464062074</v>
      </c>
      <c r="AP450" s="41">
        <f t="shared" si="208"/>
        <v>2.1521491775001143</v>
      </c>
      <c r="AQ450" s="21">
        <f t="shared" si="209"/>
        <v>2.7E-2</v>
      </c>
      <c r="AR450" s="21">
        <f t="shared" si="210"/>
        <v>15.963749999999999</v>
      </c>
      <c r="AS450" s="21">
        <f t="shared" si="211"/>
        <v>15.990749999999998</v>
      </c>
      <c r="AT450" s="41">
        <f t="shared" si="212"/>
        <v>0.99936722210504103</v>
      </c>
      <c r="AU450" s="4"/>
    </row>
    <row r="451" spans="2:47" x14ac:dyDescent="0.25">
      <c r="B451" s="4" t="s">
        <v>424</v>
      </c>
      <c r="C451" s="4">
        <v>100</v>
      </c>
      <c r="D451" s="4">
        <v>180</v>
      </c>
      <c r="E451">
        <f t="shared" si="235"/>
        <v>150</v>
      </c>
      <c r="F451" s="4">
        <v>1400</v>
      </c>
      <c r="G451" s="4">
        <v>1100</v>
      </c>
      <c r="H451" s="4">
        <v>10</v>
      </c>
      <c r="I451" s="4">
        <v>100</v>
      </c>
      <c r="J451" s="4">
        <v>150</v>
      </c>
      <c r="K451" s="4">
        <v>50</v>
      </c>
      <c r="L451" s="4">
        <v>150</v>
      </c>
      <c r="M451" s="4">
        <f t="shared" si="233"/>
        <v>70</v>
      </c>
      <c r="N451" s="4">
        <v>2</v>
      </c>
      <c r="O451" s="4">
        <v>10</v>
      </c>
      <c r="P451" s="21">
        <f t="shared" ref="P451:P453" si="236">N451*PI()*(O451/2)^2</f>
        <v>157.07963267948966</v>
      </c>
      <c r="Q451" s="29">
        <f t="shared" si="213"/>
        <v>1.0471975511965978E-2</v>
      </c>
      <c r="R451" s="21">
        <v>420</v>
      </c>
      <c r="S451" s="41">
        <f t="shared" si="229"/>
        <v>1</v>
      </c>
      <c r="T451" s="41">
        <f t="shared" si="230"/>
        <v>0.46666666666666667</v>
      </c>
      <c r="U451" s="4">
        <v>12.5</v>
      </c>
      <c r="V451" s="4">
        <v>36.9</v>
      </c>
      <c r="W451" s="4" t="s">
        <v>456</v>
      </c>
      <c r="X451" s="7">
        <f t="shared" si="214"/>
        <v>1</v>
      </c>
      <c r="Y451" s="4">
        <v>50</v>
      </c>
      <c r="Z451" s="8">
        <v>0.75</v>
      </c>
      <c r="AA451">
        <v>0.8</v>
      </c>
      <c r="AB451" s="21">
        <v>62.52</v>
      </c>
      <c r="AC451" s="4">
        <v>1100</v>
      </c>
      <c r="AD451" s="7">
        <f t="shared" si="202"/>
        <v>0.46889999999999998</v>
      </c>
      <c r="AE451" s="21">
        <f t="shared" si="234"/>
        <v>125770</v>
      </c>
      <c r="AF451" s="21">
        <v>251.54</v>
      </c>
      <c r="AG451" s="41">
        <f t="shared" si="226"/>
        <v>8.4011666666666667</v>
      </c>
      <c r="AH451" s="45">
        <f t="shared" si="203"/>
        <v>1.3830134938421075</v>
      </c>
      <c r="AI451" s="45">
        <f t="shared" si="204"/>
        <v>2.5234661212649576</v>
      </c>
      <c r="AJ451" s="21">
        <f t="shared" si="231"/>
        <v>125.77</v>
      </c>
      <c r="AK451" s="21">
        <f t="shared" si="205"/>
        <v>0.45</v>
      </c>
      <c r="AL451" s="21">
        <f t="shared" si="232"/>
        <v>0.24750000000000005</v>
      </c>
      <c r="AM451" s="21">
        <f t="shared" si="225"/>
        <v>126.0175</v>
      </c>
      <c r="AN451" s="41">
        <f t="shared" si="206"/>
        <v>8.4011666666666667</v>
      </c>
      <c r="AO451" s="41">
        <f t="shared" si="207"/>
        <v>1.3830134938421075</v>
      </c>
      <c r="AP451" s="41">
        <f t="shared" si="208"/>
        <v>2.5234661212649576</v>
      </c>
      <c r="AQ451" s="21">
        <f t="shared" si="209"/>
        <v>2.7E-2</v>
      </c>
      <c r="AR451" s="21">
        <f t="shared" si="210"/>
        <v>18.865500000000001</v>
      </c>
      <c r="AS451" s="21">
        <f t="shared" si="211"/>
        <v>18.892500000000002</v>
      </c>
      <c r="AT451" s="41">
        <f t="shared" si="212"/>
        <v>0.99946436010871509</v>
      </c>
      <c r="AU451" s="4"/>
    </row>
    <row r="452" spans="2:47" x14ac:dyDescent="0.25">
      <c r="B452" s="4" t="s">
        <v>499</v>
      </c>
      <c r="C452" s="4">
        <v>100</v>
      </c>
      <c r="D452" s="4">
        <v>180</v>
      </c>
      <c r="E452">
        <f t="shared" si="235"/>
        <v>150</v>
      </c>
      <c r="F452" s="4">
        <v>1400</v>
      </c>
      <c r="G452" s="4">
        <v>1100</v>
      </c>
      <c r="H452" s="4">
        <v>10</v>
      </c>
      <c r="I452" s="4">
        <v>100</v>
      </c>
      <c r="J452" s="4">
        <v>150</v>
      </c>
      <c r="K452" s="4">
        <v>50</v>
      </c>
      <c r="L452" s="4">
        <v>350</v>
      </c>
      <c r="M452" s="4">
        <f t="shared" si="233"/>
        <v>270</v>
      </c>
      <c r="N452" s="4">
        <v>2</v>
      </c>
      <c r="O452" s="4">
        <v>10</v>
      </c>
      <c r="P452" s="21">
        <f t="shared" si="236"/>
        <v>157.07963267948966</v>
      </c>
      <c r="Q452" s="29">
        <f t="shared" si="213"/>
        <v>1.0471975511965978E-2</v>
      </c>
      <c r="R452" s="21">
        <v>420</v>
      </c>
      <c r="S452" s="41">
        <f t="shared" si="229"/>
        <v>2.3333333333333335</v>
      </c>
      <c r="T452" s="41">
        <f t="shared" si="230"/>
        <v>1.8</v>
      </c>
      <c r="U452" s="4">
        <v>12.5</v>
      </c>
      <c r="V452" s="4">
        <v>36.08</v>
      </c>
      <c r="W452" s="4" t="s">
        <v>456</v>
      </c>
      <c r="X452" s="7">
        <f t="shared" si="214"/>
        <v>1</v>
      </c>
      <c r="Y452" s="4">
        <v>50</v>
      </c>
      <c r="Z452" s="8">
        <v>0.5</v>
      </c>
      <c r="AA452">
        <v>0.8</v>
      </c>
      <c r="AB452" s="21">
        <v>62.52</v>
      </c>
      <c r="AC452" s="4">
        <v>1100</v>
      </c>
      <c r="AD452" s="7">
        <f t="shared" si="202"/>
        <v>0.31259999999999999</v>
      </c>
      <c r="AE452" s="21">
        <f t="shared" si="234"/>
        <v>44460</v>
      </c>
      <c r="AF452" s="21">
        <v>88.92</v>
      </c>
      <c r="AG452" s="41">
        <f t="shared" si="226"/>
        <v>2.9805000000000001</v>
      </c>
      <c r="AH452" s="45">
        <f t="shared" si="203"/>
        <v>0.49619897376273658</v>
      </c>
      <c r="AI452" s="45">
        <f t="shared" si="204"/>
        <v>0.90198701027056039</v>
      </c>
      <c r="AJ452" s="21">
        <f t="shared" si="231"/>
        <v>44.46</v>
      </c>
      <c r="AK452" s="21">
        <f t="shared" si="205"/>
        <v>0.45</v>
      </c>
      <c r="AL452" s="21">
        <f t="shared" si="232"/>
        <v>0.24750000000000005</v>
      </c>
      <c r="AM452" s="21">
        <f t="shared" si="225"/>
        <v>44.707500000000003</v>
      </c>
      <c r="AN452" s="41">
        <f t="shared" si="206"/>
        <v>2.9805000000000001</v>
      </c>
      <c r="AO452" s="41">
        <f t="shared" si="207"/>
        <v>0.49619897376273658</v>
      </c>
      <c r="AP452" s="41">
        <f t="shared" si="208"/>
        <v>0.90198701027056039</v>
      </c>
      <c r="AQ452" s="21">
        <f t="shared" si="209"/>
        <v>5.3999999999999999E-2</v>
      </c>
      <c r="AR452" s="21">
        <f t="shared" si="210"/>
        <v>15.561</v>
      </c>
      <c r="AS452" s="21">
        <f t="shared" si="211"/>
        <v>15.615</v>
      </c>
      <c r="AT452" s="41">
        <f t="shared" si="212"/>
        <v>2.3284683777889614</v>
      </c>
      <c r="AU452" s="4"/>
    </row>
    <row r="453" spans="2:47" x14ac:dyDescent="0.25">
      <c r="B453" s="4" t="s">
        <v>500</v>
      </c>
      <c r="C453" s="4">
        <v>100</v>
      </c>
      <c r="D453" s="4">
        <v>180</v>
      </c>
      <c r="E453">
        <f t="shared" si="235"/>
        <v>150</v>
      </c>
      <c r="F453" s="4">
        <v>1400</v>
      </c>
      <c r="G453" s="4">
        <v>1100</v>
      </c>
      <c r="H453" s="4">
        <v>10</v>
      </c>
      <c r="I453" s="4">
        <v>100</v>
      </c>
      <c r="J453" s="4">
        <v>150</v>
      </c>
      <c r="K453" s="4">
        <v>50</v>
      </c>
      <c r="L453" s="4">
        <v>350</v>
      </c>
      <c r="M453" s="4">
        <f t="shared" si="233"/>
        <v>270</v>
      </c>
      <c r="N453" s="4">
        <v>2</v>
      </c>
      <c r="O453" s="4">
        <v>10</v>
      </c>
      <c r="P453" s="21">
        <f t="shared" si="236"/>
        <v>157.07963267948966</v>
      </c>
      <c r="Q453" s="29">
        <f t="shared" si="213"/>
        <v>1.0471975511965978E-2</v>
      </c>
      <c r="R453" s="21">
        <v>420</v>
      </c>
      <c r="S453" s="41">
        <f t="shared" si="229"/>
        <v>2.3333333333333335</v>
      </c>
      <c r="T453" s="41">
        <f t="shared" si="230"/>
        <v>1.8</v>
      </c>
      <c r="U453" s="4">
        <v>12.5</v>
      </c>
      <c r="V453" s="4">
        <v>36.9</v>
      </c>
      <c r="W453" s="4" t="s">
        <v>456</v>
      </c>
      <c r="X453" s="7">
        <f t="shared" si="214"/>
        <v>1</v>
      </c>
      <c r="Y453" s="4">
        <v>50</v>
      </c>
      <c r="Z453" s="8">
        <v>0.75</v>
      </c>
      <c r="AA453">
        <v>0.8</v>
      </c>
      <c r="AB453" s="21">
        <v>62.52</v>
      </c>
      <c r="AC453" s="4">
        <v>1100</v>
      </c>
      <c r="AD453" s="7">
        <f t="shared" ref="AD453" si="237">AB453*Z453/100*X453</f>
        <v>0.46889999999999998</v>
      </c>
      <c r="AE453" s="21">
        <f t="shared" si="234"/>
        <v>46630</v>
      </c>
      <c r="AF453" s="21">
        <v>93.26</v>
      </c>
      <c r="AG453" s="41">
        <f t="shared" si="226"/>
        <v>3.1251666666666673</v>
      </c>
      <c r="AH453" s="45">
        <f t="shared" ref="AH453" si="238">AG453/SQRT(V453)</f>
        <v>0.51446993518823503</v>
      </c>
      <c r="AI453" s="45">
        <f t="shared" ref="AI453" si="239">AG453/(V453^(1/3))</f>
        <v>0.93870917213560068</v>
      </c>
      <c r="AJ453" s="21">
        <f t="shared" si="231"/>
        <v>46.63</v>
      </c>
      <c r="AK453" s="21">
        <f t="shared" ref="AK453" si="240">25*C453/1000*D453/1000</f>
        <v>0.45</v>
      </c>
      <c r="AL453" s="21">
        <f t="shared" si="232"/>
        <v>0.24750000000000005</v>
      </c>
      <c r="AM453" s="21">
        <f t="shared" si="225"/>
        <v>46.877500000000005</v>
      </c>
      <c r="AN453" s="41">
        <f t="shared" ref="AN453" si="241">AM453*1000/(C453*E453)</f>
        <v>3.1251666666666673</v>
      </c>
      <c r="AO453" s="41">
        <f t="shared" ref="AO453" si="242">AN453/SQRT(V453)</f>
        <v>0.51446993518823503</v>
      </c>
      <c r="AP453" s="41">
        <f t="shared" ref="AP453" si="243">AN453/(V453^(1/3))</f>
        <v>0.93870917213560068</v>
      </c>
      <c r="AQ453" s="21">
        <f t="shared" ref="AQ453" si="244">-AK453/2*((F453-G453)/2000+L453/1000)^2+1/2*AK453*F453/1000*L453/1000</f>
        <v>5.3999999999999999E-2</v>
      </c>
      <c r="AR453" s="21">
        <f t="shared" ref="AR453" si="245">AJ453*L453/1000</f>
        <v>16.320499999999999</v>
      </c>
      <c r="AS453" s="21">
        <f t="shared" ref="AS453" si="246">AQ453+AR453</f>
        <v>16.374499999999998</v>
      </c>
      <c r="AT453" s="41">
        <f t="shared" ref="AT453" si="247">AS453/(AM453*E453/1000)</f>
        <v>2.3286935807868017</v>
      </c>
      <c r="AU453" s="4"/>
    </row>
  </sheetData>
  <mergeCells count="2">
    <mergeCell ref="B2:B3"/>
    <mergeCell ref="N2:O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Esayies Alemneh</dc:creator>
  <cp:lastModifiedBy>Esayies Alemneh</cp:lastModifiedBy>
  <dcterms:created xsi:type="dcterms:W3CDTF">2025-11-22T10:44:21Z</dcterms:created>
  <dcterms:modified xsi:type="dcterms:W3CDTF">2025-11-22T10:48:00Z</dcterms:modified>
</cp:coreProperties>
</file>